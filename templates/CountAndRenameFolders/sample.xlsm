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errison Chai\Documents\09 Github\GH02 Repositories\vba-utility\vba-file-folder-utils\CountAndRenameFolders\"/>
    </mc:Choice>
  </mc:AlternateContent>
  <xr:revisionPtr revIDLastSave="0" documentId="13_ncr:1_{7AC466F1-70E4-40C7-8DE3-B254F76DB1C6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Dashboard" sheetId="2" r:id="rId1"/>
    <sheet name="Data" sheetId="1" r:id="rId2"/>
    <sheet name="Reference" sheetId="5" state="hidden" r:id="rId3"/>
    <sheet name="LOG" sheetId="4" r:id="rId4"/>
  </sheets>
  <definedNames>
    <definedName name="_xlnm._FilterDatabase" localSheetId="1" hidden="1">Data!$A$1:$D$61</definedName>
    <definedName name="_JERR" hidden="1">"Template produced by Jerrison"</definedName>
    <definedName name="Email_Body">Dashboard!$C$12</definedName>
    <definedName name="Start_Time">Dashboard!$C$29</definedName>
    <definedName name="Status">Dashboard!$C$28</definedName>
    <definedName name="Time_Taken">Dashboard!$C$30</definedName>
    <definedName name="UserName">Dashboard!$C$31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0" i="1" l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2" i="1"/>
  <c r="D4" i="1" l="1"/>
  <c r="D3" i="1"/>
  <c r="D9" i="1"/>
  <c r="D8" i="1"/>
  <c r="D7" i="1"/>
  <c r="D6" i="1"/>
  <c r="D5" i="1"/>
  <c r="D2" i="1"/>
  <c r="C16" i="2"/>
  <c r="C23" i="2"/>
  <c r="C22" i="2"/>
</calcChain>
</file>

<file path=xl/sharedStrings.xml><?xml version="1.0" encoding="utf-8"?>
<sst xmlns="http://schemas.openxmlformats.org/spreadsheetml/2006/main" count="112" uniqueCount="79">
  <si>
    <t>Date</t>
  </si>
  <si>
    <t>VBA Automation</t>
  </si>
  <si>
    <t>Parameters</t>
  </si>
  <si>
    <t>Save as File name</t>
  </si>
  <si>
    <t>Country</t>
  </si>
  <si>
    <t>Year</t>
  </si>
  <si>
    <t>Marketplace</t>
  </si>
  <si>
    <t>Folder to Save Files</t>
  </si>
  <si>
    <t>Last Execution Status</t>
  </si>
  <si>
    <t>Status</t>
  </si>
  <si>
    <t>Success</t>
  </si>
  <si>
    <t>Start Time</t>
  </si>
  <si>
    <t>Time Taken</t>
  </si>
  <si>
    <t>UserName</t>
  </si>
  <si>
    <t>Jerrison Chai</t>
  </si>
  <si>
    <t>Button</t>
  </si>
  <si>
    <t>Time</t>
  </si>
  <si>
    <t>User</t>
  </si>
  <si>
    <t>Remark</t>
  </si>
  <si>
    <t>Start Run</t>
  </si>
  <si>
    <t>Ended Run</t>
  </si>
  <si>
    <t>Version 1.00</t>
  </si>
  <si>
    <t xml:space="preserve"> </t>
  </si>
  <si>
    <t>Philippines</t>
  </si>
  <si>
    <t>Indonesia</t>
  </si>
  <si>
    <t>Thailand</t>
  </si>
  <si>
    <t>Vietnam</t>
  </si>
  <si>
    <t>Malaysia</t>
  </si>
  <si>
    <t>Hong Kong</t>
  </si>
  <si>
    <t>Taiwan</t>
  </si>
  <si>
    <t xml:space="preserve">Email to </t>
  </si>
  <si>
    <t>jerrison.shuei@gmail.com</t>
  </si>
  <si>
    <t>jerrisonchai@gmail.com</t>
  </si>
  <si>
    <t>Abbreviation</t>
  </si>
  <si>
    <t>PH</t>
  </si>
  <si>
    <t>TH</t>
  </si>
  <si>
    <t>ID</t>
  </si>
  <si>
    <t>VN</t>
  </si>
  <si>
    <t>MY</t>
  </si>
  <si>
    <t>HK</t>
  </si>
  <si>
    <t>TW</t>
  </si>
  <si>
    <t>Total files + 2</t>
  </si>
  <si>
    <t>Singapore</t>
  </si>
  <si>
    <t>SG</t>
  </si>
  <si>
    <t>Total folders + 2</t>
  </si>
  <si>
    <t>Date and time</t>
  </si>
  <si>
    <t>Final file location</t>
  </si>
  <si>
    <t>C:\Users\Jerrison Chai\Documents\02 DEMO\DONE</t>
  </si>
  <si>
    <t>Original folder location</t>
  </si>
  <si>
    <t>Count files and Rename folders</t>
  </si>
  <si>
    <t>File Count</t>
  </si>
  <si>
    <t>Folder</t>
  </si>
  <si>
    <t>Old SubFolder name</t>
  </si>
  <si>
    <t>Old SubFolder Path</t>
  </si>
  <si>
    <t>New SubFolder Path</t>
  </si>
  <si>
    <t>New SubFolder name</t>
  </si>
  <si>
    <t>C:\Users\Jerrison Chai\Documents\02 DEMO\DONE\20240216-1258</t>
  </si>
  <si>
    <t>CountRename</t>
  </si>
  <si>
    <t>10_TW</t>
  </si>
  <si>
    <t>C:\Users\Jerrison Chai\Documents\02 DEMO\DONE\20240216-1258\10_TW</t>
  </si>
  <si>
    <t>11_PH</t>
  </si>
  <si>
    <t>C:\Users\Jerrison Chai\Documents\02 DEMO\DONE\20240216-1258\11_PH</t>
  </si>
  <si>
    <t>15_MY</t>
  </si>
  <si>
    <t>C:\Users\Jerrison Chai\Documents\02 DEMO\DONE\20240216-1258\15_MY</t>
  </si>
  <si>
    <t>15_SG</t>
  </si>
  <si>
    <t>C:\Users\Jerrison Chai\Documents\02 DEMO\DONE\20240216-1258\15_SG</t>
  </si>
  <si>
    <t>4_VN</t>
  </si>
  <si>
    <t>C:\Users\Jerrison Chai\Documents\02 DEMO\DONE\20240216-1258\4_VN</t>
  </si>
  <si>
    <t>5_HK</t>
  </si>
  <si>
    <t>C:\Users\Jerrison Chai\Documents\02 DEMO\DONE\20240216-1258\5_HK</t>
  </si>
  <si>
    <t>5_TH</t>
  </si>
  <si>
    <t>C:\Users\Jerrison Chai\Documents\02 DEMO\DONE\20240216-1258\5_TH</t>
  </si>
  <si>
    <t>6_ID</t>
  </si>
  <si>
    <t>C:\Users\Jerrison Chai\Documents\02 DEMO\DONE\20240216-1258\6_ID</t>
  </si>
  <si>
    <t>Action Taken</t>
  </si>
  <si>
    <t>Run Macro Started</t>
  </si>
  <si>
    <t>Count file and rename folders v1.10T.xlsm</t>
  </si>
  <si>
    <t>Run Macro Ended</t>
  </si>
  <si>
    <t>Admin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</si>
</sst>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dd/mm/yyyy\ h:mm:ss"/>
    <numFmt numFmtId="166" formatCode="[$-F400]h:mm:ss\ AM/PM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rgb="FF0064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theme="0" tint="-0.34998626667073579"/>
      </left>
      <right/>
      <top style="medium">
        <color theme="0" tint="-0.34998626667073579"/>
      </top>
      <bottom/>
      <diagonal/>
    </border>
    <border>
      <left style="medium">
        <color theme="0" tint="-0.24994659260841701"/>
      </left>
      <right/>
      <top style="medium">
        <color theme="0" tint="-0.24994659260841701"/>
      </top>
      <bottom/>
      <diagonal/>
    </border>
    <border>
      <left/>
      <right/>
      <top style="medium">
        <color theme="0" tint="-0.24994659260841701"/>
      </top>
      <bottom/>
      <diagonal/>
    </border>
  </borders>
  <cellStyleXfs count="1">
    <xf numFmtId="0" fontId="0" fillId="0" borderId="0"/>
  </cellStyleXfs>
  <cellXfs count="60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left" vertical="center" indent="1"/>
    </xf>
    <xf numFmtId="0" fontId="0" fillId="2" borderId="0" xfId="0" applyFill="1" applyAlignment="1">
      <alignment vertical="center"/>
    </xf>
    <xf numFmtId="0" fontId="2" fillId="2" borderId="1" xfId="0" applyFont="1" applyFill="1" applyBorder="1" applyAlignment="1">
      <alignment horizontal="left" vertical="center" indent="1"/>
    </xf>
    <xf numFmtId="0" fontId="0" fillId="2" borderId="2" xfId="0" applyFill="1" applyBorder="1" applyAlignment="1">
      <alignment vertical="center"/>
    </xf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 applyAlignment="1">
      <alignment horizontal="left" vertical="center" indent="1"/>
    </xf>
    <xf numFmtId="0" fontId="0" fillId="2" borderId="5" xfId="0" applyFill="1" applyBorder="1"/>
    <xf numFmtId="0" fontId="3" fillId="2" borderId="6" xfId="0" applyFont="1" applyFill="1" applyBorder="1" applyAlignment="1">
      <alignment horizontal="left" vertical="center" indent="1"/>
    </xf>
    <xf numFmtId="0" fontId="0" fillId="2" borderId="7" xfId="0" applyFill="1" applyBorder="1" applyAlignment="1">
      <alignment vertical="center"/>
    </xf>
    <xf numFmtId="0" fontId="0" fillId="2" borderId="7" xfId="0" applyFill="1" applyBorder="1"/>
    <xf numFmtId="0" fontId="0" fillId="2" borderId="8" xfId="0" applyFill="1" applyBorder="1"/>
    <xf numFmtId="0" fontId="1" fillId="2" borderId="4" xfId="0" applyFont="1" applyFill="1" applyBorder="1" applyAlignment="1">
      <alignment horizontal="left" vertical="center" indent="1"/>
    </xf>
    <xf numFmtId="14" fontId="0" fillId="3" borderId="9" xfId="0" applyNumberFormat="1" applyFill="1" applyBorder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0" fillId="3" borderId="9" xfId="0" applyFill="1" applyBorder="1" applyAlignment="1">
      <alignment vertical="center"/>
    </xf>
    <xf numFmtId="0" fontId="0" fillId="4" borderId="9" xfId="0" applyFill="1" applyBorder="1" applyAlignment="1">
      <alignment vertical="center"/>
    </xf>
    <xf numFmtId="0" fontId="0" fillId="2" borderId="5" xfId="0" applyFill="1" applyBorder="1" applyAlignment="1">
      <alignment vertical="center"/>
    </xf>
    <xf numFmtId="0" fontId="4" fillId="2" borderId="0" xfId="0" applyFont="1" applyFill="1" applyAlignment="1">
      <alignment vertical="center"/>
    </xf>
    <xf numFmtId="0" fontId="0" fillId="3" borderId="9" xfId="0" applyFill="1" applyBorder="1" applyAlignment="1">
      <alignment horizontal="left" vertical="center"/>
    </xf>
    <xf numFmtId="22" fontId="0" fillId="3" borderId="9" xfId="0" applyNumberFormat="1" applyFill="1" applyBorder="1" applyAlignment="1">
      <alignment horizontal="left" vertical="center"/>
    </xf>
    <xf numFmtId="21" fontId="0" fillId="3" borderId="9" xfId="0" applyNumberFormat="1" applyFill="1" applyBorder="1" applyAlignment="1">
      <alignment horizontal="left" vertical="center"/>
    </xf>
    <xf numFmtId="0" fontId="0" fillId="2" borderId="6" xfId="0" applyFill="1" applyBorder="1" applyAlignment="1">
      <alignment horizontal="left" vertical="center" indent="1"/>
    </xf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/>
    </xf>
    <xf numFmtId="0" fontId="5" fillId="2" borderId="0" xfId="0" applyFont="1" applyFill="1" applyAlignment="1">
      <alignment vertical="center"/>
    </xf>
    <xf numFmtId="0" fontId="1" fillId="2" borderId="4" xfId="0" applyFont="1" applyFill="1" applyBorder="1" applyAlignment="1">
      <alignment horizontal="left" vertical="center" wrapText="1" indent="1"/>
    </xf>
    <xf numFmtId="0" fontId="1" fillId="3" borderId="0" xfId="0" applyFont="1" applyFill="1"/>
    <xf numFmtId="165" fontId="1" fillId="3" borderId="0" xfId="0" applyNumberFormat="1" applyFont="1" applyFill="1"/>
    <xf numFmtId="165" fontId="0" fillId="0" borderId="0" xfId="0" applyNumberFormat="1"/>
    <xf numFmtId="164" fontId="0" fillId="4" borderId="9" xfId="0" applyNumberFormat="1" applyFill="1" applyBorder="1" applyAlignment="1">
      <alignment horizontal="left" vertical="center"/>
    </xf>
    <xf numFmtId="0" fontId="6" fillId="2" borderId="0" xfId="0" applyFont="1" applyFill="1" applyAlignment="1">
      <alignment vertical="center"/>
    </xf>
    <xf numFmtId="0" fontId="6" fillId="2" borderId="0" xfId="0" applyFont="1" applyFill="1"/>
    <xf numFmtId="0" fontId="6" fillId="2" borderId="2" xfId="0" applyFont="1" applyFill="1" applyBorder="1" applyAlignment="1">
      <alignment vertical="center"/>
    </xf>
    <xf numFmtId="0" fontId="6" fillId="2" borderId="2" xfId="0" applyFont="1" applyFill="1" applyBorder="1"/>
    <xf numFmtId="0" fontId="6" fillId="2" borderId="3" xfId="0" applyFont="1" applyFill="1" applyBorder="1"/>
    <xf numFmtId="0" fontId="6" fillId="2" borderId="5" xfId="0" applyFont="1" applyFill="1" applyBorder="1"/>
    <xf numFmtId="0" fontId="6" fillId="2" borderId="7" xfId="0" applyFont="1" applyFill="1" applyBorder="1" applyAlignment="1">
      <alignment vertical="center"/>
    </xf>
    <xf numFmtId="0" fontId="6" fillId="2" borderId="7" xfId="0" applyFont="1" applyFill="1" applyBorder="1"/>
    <xf numFmtId="0" fontId="6" fillId="2" borderId="8" xfId="0" applyFont="1" applyFill="1" applyBorder="1"/>
    <xf numFmtId="0" fontId="6" fillId="2" borderId="0" xfId="0" applyFont="1" applyFill="1" applyAlignment="1">
      <alignment horizontal="left" vertical="center"/>
    </xf>
    <xf numFmtId="0" fontId="6" fillId="3" borderId="9" xfId="0" applyFont="1" applyFill="1" applyBorder="1" applyAlignment="1">
      <alignment vertical="center"/>
    </xf>
    <xf numFmtId="14" fontId="0" fillId="0" borderId="0" xfId="0" applyNumberFormat="1" applyAlignment="1">
      <alignment horizontal="left"/>
    </xf>
    <xf numFmtId="166" fontId="0" fillId="0" borderId="0" xfId="0" applyNumberFormat="1" applyAlignment="1">
      <alignment horizontal="center"/>
    </xf>
    <xf numFmtId="22" fontId="0" fillId="0" borderId="0" xfId="0" applyNumberFormat="1"/>
    <xf numFmtId="0" fontId="7" fillId="4" borderId="0" xfId="0" applyFont="1" applyFill="1" applyAlignment="1">
      <alignment horizontal="center"/>
    </xf>
    <xf numFmtId="14" fontId="7" fillId="5" borderId="0" xfId="0" applyNumberFormat="1" applyFont="1" applyFill="1" applyAlignment="1">
      <alignment horizontal="left"/>
    </xf>
    <xf numFmtId="166" fontId="7" fillId="5" borderId="0" xfId="0" applyNumberFormat="1" applyFont="1" applyFill="1" applyAlignment="1">
      <alignment horizontal="center"/>
    </xf>
    <xf numFmtId="0" fontId="7" fillId="5" borderId="0" xfId="0" applyFont="1" applyFill="1" applyAlignment="1">
      <alignment horizontal="center"/>
    </xf>
    <xf numFmtId="0" fontId="0" fillId="6" borderId="0" xfId="0" applyFill="1"/>
    <xf numFmtId="22" fontId="0" fillId="6" borderId="0" xfId="0" applyNumberFormat="1" applyFill="1"/>
    <xf numFmtId="0" fontId="1" fillId="7" borderId="0" xfId="0" applyFont="1" applyFill="1"/>
    <xf numFmtId="0" fontId="0" fillId="3" borderId="10" xfId="0" applyFill="1" applyBorder="1" applyAlignment="1">
      <alignment horizontal="left" vertical="center"/>
    </xf>
    <xf numFmtId="0" fontId="0" fillId="3" borderId="11" xfId="0" applyFill="1" applyBorder="1" applyAlignment="1">
      <alignment horizontal="left" vertical="center"/>
    </xf>
    <xf numFmtId="0" fontId="0" fillId="4" borderId="10" xfId="0" applyFill="1" applyBorder="1" applyAlignment="1">
      <alignment horizontal="left" vertical="center"/>
    </xf>
    <xf numFmtId="0" fontId="0" fillId="4" borderId="11" xfId="0" applyFill="1" applyBorder="1" applyAlignment="1">
      <alignment horizontal="left" vertical="center"/>
    </xf>
    <xf numFmtId="14" fontId="0" fillId="3" borderId="10" xfId="0" applyNumberForma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295276</xdr:colOff>
      <xdr:row>24</xdr:row>
      <xdr:rowOff>95250</xdr:rowOff>
    </xdr:from>
    <xdr:to>
      <xdr:col>2</xdr:col>
      <xdr:colOff>2209800</xdr:colOff>
      <xdr:row>25</xdr:row>
      <xdr:rowOff>171450</xdr:rowOff>
    </xdr:to>
    <xdr:sp macro="[0]!CountFiles2" textlink="">
      <xdr:nvSpPr>
        <xdr:cNvPr id="3" name="CountRename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667001" y="2200275"/>
          <a:ext cx="1914524" cy="466725"/>
        </a:xfrm>
        <a:prstGeom prst="roundRect">
          <a:avLst/>
        </a:prstGeom>
        <a:solidFill>
          <a:srgbClr val="0000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MY" sz="1050" b="1" baseline="0">
              <a:solidFill>
                <a:srgbClr val="FFFFFF"/>
              </a:solidFill>
            </a:rPr>
            <a:t>Count and Rename folder</a:t>
          </a:r>
        </a:p>
      </xdr:txBody>
    </xdr:sp>
    <xdr:clientData/>
  </xdr:twoCellAnchor>
  <xdr:twoCellAnchor editAs="oneCell">
    <xdr:from>
      <xdr:col>7</xdr:col>
      <xdr:colOff>43191</xdr:colOff>
      <xdr:row>20</xdr:row>
      <xdr:rowOff>60763</xdr:rowOff>
    </xdr:from>
    <xdr:to>
      <xdr:col>7</xdr:col>
      <xdr:colOff>43191</xdr:colOff>
      <xdr:row>21</xdr:row>
      <xdr:rowOff>0</xdr:rowOff>
    </xdr:to>
    <xdr:sp macro="" textlink="">
      <xdr:nvSpPr>
        <xdr:cNvPr id="6" name="Get Shipping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0939791" y="3432613"/>
          <a:ext cx="247650" cy="268671"/>
        </a:xfrm>
        <a:prstGeom prst="rightArrow">
          <a:avLst/>
        </a:prstGeom>
        <a:solidFill>
          <a:srgbClr val="0000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MY" sz="1100">
            <a:solidFill>
              <a:srgbClr val="FFFFFF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7</xdr:col>
      <xdr:colOff>47991</xdr:colOff>
      <xdr:row>19</xdr:row>
      <xdr:rowOff>19782</xdr:rowOff>
    </xdr:from>
    <xdr:to>
      <xdr:col>7</xdr:col>
      <xdr:colOff>47991</xdr:colOff>
      <xdr:row>20</xdr:row>
      <xdr:rowOff>269631</xdr:rowOff>
    </xdr:to>
    <xdr:sp macro="" textlink="">
      <xdr:nvSpPr>
        <xdr:cNvPr id="7" name="Get SAP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0944591" y="3048732"/>
          <a:ext cx="247650" cy="269631"/>
        </a:xfrm>
        <a:prstGeom prst="rightArrow">
          <a:avLst/>
        </a:prstGeom>
        <a:solidFill>
          <a:srgbClr val="0000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>
            <a:solidFill>
              <a:srgbClr val="FFFFFF"/>
            </a:solidFill>
          </a:endParaRPr>
        </a:p>
      </xdr:txBody>
    </xdr:sp>
    <xdr:clientData/>
  </xdr:twoCellAnchor>
  <xdr:twoCellAnchor>
    <xdr:from>
      <xdr:col>6</xdr:col>
      <xdr:colOff>2886075</xdr:colOff>
      <xdr:row>1</xdr:row>
      <xdr:rowOff>152400</xdr:rowOff>
    </xdr:from>
    <xdr:to>
      <xdr:col>7</xdr:col>
      <xdr:colOff>461789</xdr:colOff>
      <xdr:row>3</xdr:row>
      <xdr:rowOff>12545</xdr:rowOff>
    </xdr:to>
    <xdr:sp macro="[0]!Lock_Example" textlink="">
      <xdr:nvSpPr>
        <xdr:cNvPr id="2" name="Calc Data">
          <a:extLst>
            <a:ext uri="{FF2B5EF4-FFF2-40B4-BE49-F238E27FC236}">
              <a16:creationId xmlns:a16="http://schemas.microsoft.com/office/drawing/2014/main" id="{612EB309-E5B3-4B18-8AF8-45DA416DDE76}"/>
            </a:ext>
          </a:extLst>
        </xdr:cNvPr>
        <xdr:cNvSpPr/>
      </xdr:nvSpPr>
      <xdr:spPr>
        <a:xfrm>
          <a:off x="10572750" y="352425"/>
          <a:ext cx="785639" cy="345920"/>
        </a:xfrm>
        <a:prstGeom prst="roundRect">
          <a:avLst/>
        </a:prstGeom>
        <a:solidFill>
          <a:srgbClr val="0000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MY" sz="1050" b="1">
              <a:solidFill>
                <a:srgbClr val="FFFFFF"/>
              </a:solidFill>
            </a:rPr>
            <a:t>LOCK VBA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44"/>
  <sheetViews>
    <sheetView tabSelected="1" topLeftCell="B1" workbookViewId="0">
      <selection activeCell="B14" sqref="B14"/>
    </sheetView>
  </sheetViews>
  <sheetFormatPr defaultColWidth="0" defaultRowHeight="15" customHeight="1" zeroHeight="1" x14ac:dyDescent="0.25"/>
  <cols>
    <col min="1" max="1" width="2.85546875" customWidth="1"/>
    <col min="2" max="2" width="32.7109375" customWidth="1"/>
    <col min="3" max="3" width="43" customWidth="1"/>
    <col min="4" max="4" width="16" customWidth="1"/>
    <col min="5" max="5" width="11.5703125" customWidth="1"/>
    <col min="6" max="6" width="9.140625" customWidth="1"/>
    <col min="7" max="7" width="48.140625" customWidth="1"/>
    <col min="8" max="8" width="9.140625" customWidth="1"/>
    <col min="9" max="9" width="2.85546875" customWidth="1"/>
    <col min="10" max="16384" width="9.140625" hidden="1"/>
  </cols>
  <sheetData>
    <row r="1" spans="1:9" ht="15.75" thickBot="1" x14ac:dyDescent="0.3">
      <c r="A1" s="2"/>
      <c r="B1" s="3"/>
      <c r="C1" s="4"/>
      <c r="D1" s="2"/>
      <c r="E1" s="34"/>
      <c r="F1" s="34" t="s">
        <v>22</v>
      </c>
      <c r="G1" s="35"/>
      <c r="H1" s="35"/>
      <c r="I1" s="35"/>
    </row>
    <row r="2" spans="1:9" ht="23.25" x14ac:dyDescent="0.25">
      <c r="A2" s="2"/>
      <c r="B2" s="5" t="s">
        <v>49</v>
      </c>
      <c r="C2" s="6"/>
      <c r="D2" s="7"/>
      <c r="E2" s="36"/>
      <c r="F2" s="36"/>
      <c r="G2" s="37"/>
      <c r="H2" s="38"/>
      <c r="I2" s="35"/>
    </row>
    <row r="3" spans="1:9" x14ac:dyDescent="0.25">
      <c r="A3" s="2"/>
      <c r="B3" s="9" t="s">
        <v>1</v>
      </c>
      <c r="C3" s="4"/>
      <c r="D3" s="2"/>
      <c r="E3" s="34"/>
      <c r="F3" s="34"/>
      <c r="G3" s="35"/>
      <c r="H3" s="39"/>
      <c r="I3" s="35"/>
    </row>
    <row r="4" spans="1:9" ht="15.75" thickBot="1" x14ac:dyDescent="0.3">
      <c r="A4" s="2"/>
      <c r="B4" s="11" t="s">
        <v>21</v>
      </c>
      <c r="C4" s="12"/>
      <c r="D4" s="13"/>
      <c r="E4" s="40"/>
      <c r="F4" s="40"/>
      <c r="G4" s="41"/>
      <c r="H4" s="42"/>
      <c r="I4" s="35"/>
    </row>
    <row r="5" spans="1:9" hidden="1" x14ac:dyDescent="0.25">
      <c r="A5" s="2"/>
      <c r="B5" s="9"/>
      <c r="C5" s="4"/>
      <c r="D5" s="2"/>
      <c r="E5" s="34"/>
      <c r="F5" s="34"/>
      <c r="G5" s="35"/>
      <c r="H5" s="39"/>
      <c r="I5" s="35"/>
    </row>
    <row r="6" spans="1:9" hidden="1" x14ac:dyDescent="0.25">
      <c r="A6" s="2"/>
      <c r="B6" s="9"/>
      <c r="C6" s="4"/>
      <c r="D6" s="2"/>
      <c r="E6" s="34"/>
      <c r="F6" s="34"/>
      <c r="G6" s="35"/>
      <c r="H6" s="39"/>
      <c r="I6" s="35"/>
    </row>
    <row r="7" spans="1:9" ht="15.75" hidden="1" thickBot="1" x14ac:dyDescent="0.3">
      <c r="A7" s="2"/>
      <c r="B7" s="15" t="s">
        <v>2</v>
      </c>
      <c r="C7" s="4"/>
      <c r="D7" s="2"/>
      <c r="E7" s="34"/>
      <c r="F7" s="34"/>
      <c r="G7" s="35"/>
      <c r="H7" s="39"/>
      <c r="I7" s="35"/>
    </row>
    <row r="8" spans="1:9" hidden="1" x14ac:dyDescent="0.25">
      <c r="A8" s="2"/>
      <c r="B8" s="9" t="s">
        <v>0</v>
      </c>
      <c r="C8" s="16"/>
      <c r="D8" s="2"/>
      <c r="E8" s="34"/>
      <c r="F8" s="34"/>
      <c r="G8" s="35"/>
      <c r="H8" s="39"/>
      <c r="I8" s="35"/>
    </row>
    <row r="9" spans="1:9" ht="4.5" hidden="1" customHeight="1" thickBot="1" x14ac:dyDescent="0.3">
      <c r="A9" s="2"/>
      <c r="B9" s="9"/>
      <c r="C9" s="17"/>
      <c r="D9" s="2"/>
      <c r="E9" s="34"/>
      <c r="F9" s="34"/>
      <c r="G9" s="35"/>
      <c r="H9" s="39"/>
      <c r="I9" s="35"/>
    </row>
    <row r="10" spans="1:9" hidden="1" x14ac:dyDescent="0.25">
      <c r="A10" s="2"/>
      <c r="B10" s="9" t="s">
        <v>3</v>
      </c>
      <c r="C10" s="18"/>
      <c r="D10" s="2"/>
      <c r="E10" s="34"/>
      <c r="F10" s="34"/>
      <c r="G10" s="35"/>
      <c r="H10" s="39"/>
      <c r="I10" s="35"/>
    </row>
    <row r="11" spans="1:9" ht="4.5" hidden="1" customHeight="1" thickBot="1" x14ac:dyDescent="0.3">
      <c r="A11" s="2"/>
      <c r="B11" s="9"/>
      <c r="C11" s="4"/>
      <c r="D11" s="2"/>
      <c r="E11" s="34"/>
      <c r="F11" s="34"/>
      <c r="G11" s="35"/>
      <c r="H11" s="39"/>
      <c r="I11" s="35"/>
    </row>
    <row r="12" spans="1:9" ht="15.75" hidden="1" thickBot="1" x14ac:dyDescent="0.3">
      <c r="A12" s="2"/>
      <c r="B12" s="9" t="s">
        <v>4</v>
      </c>
      <c r="C12" s="19"/>
      <c r="D12" s="2"/>
      <c r="E12" s="43" t="s">
        <v>5</v>
      </c>
      <c r="F12" s="44"/>
      <c r="G12" s="35"/>
      <c r="H12" s="39"/>
      <c r="I12" s="35"/>
    </row>
    <row r="13" spans="1:9" ht="15.75" hidden="1" customHeight="1" x14ac:dyDescent="0.25">
      <c r="A13" s="2"/>
      <c r="B13" s="9" t="s">
        <v>6</v>
      </c>
      <c r="C13" s="18"/>
      <c r="D13" s="2"/>
      <c r="E13" s="34"/>
      <c r="F13" s="34"/>
      <c r="G13" s="35"/>
      <c r="H13" s="39"/>
      <c r="I13" s="35"/>
    </row>
    <row r="14" spans="1:9" ht="39" customHeight="1" x14ac:dyDescent="0.25">
      <c r="A14" s="2"/>
      <c r="B14" s="15" t="s">
        <v>7</v>
      </c>
      <c r="C14" s="4"/>
      <c r="D14" s="2"/>
      <c r="E14" s="34"/>
      <c r="F14" s="34"/>
      <c r="G14" s="35"/>
      <c r="H14" s="39"/>
      <c r="I14" s="35"/>
    </row>
    <row r="15" spans="1:9" ht="4.5" customHeight="1" thickBot="1" x14ac:dyDescent="0.3">
      <c r="A15" s="2"/>
      <c r="B15" s="9"/>
      <c r="C15" s="4"/>
      <c r="D15" s="2"/>
      <c r="E15" s="4"/>
      <c r="F15" s="4"/>
      <c r="G15" s="2"/>
      <c r="H15" s="10"/>
      <c r="I15" s="2"/>
    </row>
    <row r="16" spans="1:9" ht="27" customHeight="1" thickBot="1" x14ac:dyDescent="0.3">
      <c r="A16" s="4"/>
      <c r="B16" s="9" t="s">
        <v>45</v>
      </c>
      <c r="C16" s="59" t="str">
        <f ca="1">TEXT(NOW(),"YYYYMMDD-HHMM")</f>
        <v>20250826-1704</v>
      </c>
      <c r="D16" s="56"/>
      <c r="E16" s="56"/>
      <c r="F16" s="56"/>
      <c r="G16" s="56"/>
      <c r="H16" s="20"/>
      <c r="I16" s="4"/>
    </row>
    <row r="17" spans="1:9" ht="4.5" hidden="1" customHeight="1" thickBot="1" x14ac:dyDescent="0.3">
      <c r="A17" s="4"/>
      <c r="B17" s="9"/>
      <c r="C17" s="4"/>
      <c r="D17" s="4"/>
      <c r="E17" s="4"/>
      <c r="F17" s="4"/>
      <c r="G17" s="4"/>
      <c r="H17" s="20"/>
      <c r="I17" s="4"/>
    </row>
    <row r="18" spans="1:9" ht="27" hidden="1" customHeight="1" x14ac:dyDescent="0.25">
      <c r="A18" s="4"/>
      <c r="B18" s="9"/>
      <c r="C18" s="57"/>
      <c r="D18" s="58"/>
      <c r="E18" s="58"/>
      <c r="F18" s="58"/>
      <c r="G18" s="58"/>
      <c r="H18" s="20"/>
      <c r="I18" s="4"/>
    </row>
    <row r="19" spans="1:9" ht="4.5" hidden="1" customHeight="1" thickBot="1" x14ac:dyDescent="0.3">
      <c r="A19" s="4"/>
      <c r="B19" s="9"/>
      <c r="C19" s="4"/>
      <c r="D19" s="4"/>
      <c r="E19" s="4"/>
      <c r="F19" s="4"/>
      <c r="G19" s="4"/>
      <c r="H19" s="20"/>
      <c r="I19" s="4"/>
    </row>
    <row r="20" spans="1:9" ht="27" hidden="1" customHeight="1" thickBot="1" x14ac:dyDescent="0.3">
      <c r="A20" s="4"/>
      <c r="B20" s="9"/>
      <c r="C20" s="57"/>
      <c r="D20" s="58"/>
      <c r="E20" s="58"/>
      <c r="F20" s="58"/>
      <c r="G20" s="58"/>
      <c r="H20" s="20"/>
      <c r="I20" s="4"/>
    </row>
    <row r="21" spans="1:9" ht="25.5" customHeight="1" x14ac:dyDescent="0.25">
      <c r="A21" s="4"/>
      <c r="B21" s="9" t="s">
        <v>48</v>
      </c>
      <c r="C21" s="57" t="s">
        <v>56</v>
      </c>
      <c r="D21" s="58"/>
      <c r="E21" s="58"/>
      <c r="F21" s="58"/>
      <c r="G21" s="58"/>
      <c r="H21" s="20"/>
      <c r="I21" s="4"/>
    </row>
    <row r="22" spans="1:9" ht="27" hidden="1" customHeight="1" thickBot="1" x14ac:dyDescent="0.3">
      <c r="A22" s="4"/>
      <c r="B22" s="9" t="s">
        <v>41</v>
      </c>
      <c r="C22" s="55">
        <f>COUNTA(Data!A:A)+1</f>
        <v>10</v>
      </c>
      <c r="D22" s="56"/>
      <c r="E22" s="56"/>
      <c r="F22" s="56"/>
      <c r="G22" s="56"/>
      <c r="H22" s="20"/>
      <c r="I22" s="4"/>
    </row>
    <row r="23" spans="1:9" ht="27" hidden="1" customHeight="1" thickBot="1" x14ac:dyDescent="0.3">
      <c r="A23" s="4"/>
      <c r="B23" s="9" t="s">
        <v>44</v>
      </c>
      <c r="C23" s="55">
        <f>COUNTA(#REF!)+1</f>
        <v>2</v>
      </c>
      <c r="D23" s="56"/>
      <c r="E23" s="56"/>
      <c r="F23" s="56"/>
      <c r="G23" s="56"/>
      <c r="H23" s="20"/>
      <c r="I23" s="4"/>
    </row>
    <row r="24" spans="1:9" ht="27" hidden="1" customHeight="1" x14ac:dyDescent="0.25">
      <c r="A24" s="4"/>
      <c r="B24" s="9" t="s">
        <v>46</v>
      </c>
      <c r="C24" s="57" t="s">
        <v>47</v>
      </c>
      <c r="D24" s="58"/>
      <c r="E24" s="58"/>
      <c r="F24" s="58"/>
      <c r="G24" s="58"/>
      <c r="H24" s="20"/>
      <c r="I24" s="4"/>
    </row>
    <row r="25" spans="1:9" ht="30.75" customHeight="1" x14ac:dyDescent="0.25">
      <c r="A25" s="2"/>
      <c r="B25" s="9"/>
      <c r="C25" s="21"/>
      <c r="D25" s="2"/>
      <c r="E25" s="4"/>
      <c r="F25" s="4"/>
      <c r="G25" s="2"/>
      <c r="H25" s="10"/>
      <c r="I25" s="2"/>
    </row>
    <row r="26" spans="1:9" x14ac:dyDescent="0.25">
      <c r="A26" s="2"/>
      <c r="B26" s="9"/>
      <c r="C26" s="4"/>
      <c r="D26" s="2"/>
      <c r="E26" s="4"/>
      <c r="F26" s="4"/>
      <c r="G26" s="2"/>
      <c r="H26" s="10"/>
      <c r="I26" s="2"/>
    </row>
    <row r="27" spans="1:9" ht="15.75" thickBot="1" x14ac:dyDescent="0.3">
      <c r="A27" s="2"/>
      <c r="B27" s="15" t="s">
        <v>8</v>
      </c>
      <c r="C27" s="4"/>
      <c r="D27" s="2"/>
      <c r="E27" s="4"/>
      <c r="F27" s="4"/>
      <c r="G27" s="2"/>
      <c r="H27" s="10"/>
      <c r="I27" s="2"/>
    </row>
    <row r="28" spans="1:9" ht="15.75" thickBot="1" x14ac:dyDescent="0.3">
      <c r="A28" s="2"/>
      <c r="B28" s="9" t="s">
        <v>9</v>
      </c>
      <c r="C28" s="22" t="s">
        <v>10</v>
      </c>
      <c r="D28" s="2"/>
      <c r="E28" s="4"/>
      <c r="F28" s="4"/>
      <c r="G28" s="2"/>
      <c r="H28" s="10"/>
      <c r="I28" s="2"/>
    </row>
    <row r="29" spans="1:9" ht="15.75" thickBot="1" x14ac:dyDescent="0.3">
      <c r="A29" s="2"/>
      <c r="B29" s="9" t="s">
        <v>11</v>
      </c>
      <c r="C29" s="23">
        <v>45338.629282407404</v>
      </c>
      <c r="D29" s="2"/>
      <c r="E29" s="4"/>
      <c r="F29" s="4"/>
      <c r="G29" s="2"/>
      <c r="H29" s="10"/>
      <c r="I29" s="2"/>
    </row>
    <row r="30" spans="1:9" ht="15.75" thickBot="1" x14ac:dyDescent="0.3">
      <c r="A30" s="2"/>
      <c r="B30" s="9" t="s">
        <v>12</v>
      </c>
      <c r="C30" s="24">
        <v>0</v>
      </c>
      <c r="D30" s="2"/>
      <c r="E30" s="4"/>
      <c r="F30" s="4"/>
      <c r="G30" s="2"/>
      <c r="H30" s="10"/>
      <c r="I30" s="2"/>
    </row>
    <row r="31" spans="1:9" x14ac:dyDescent="0.25">
      <c r="A31" s="2"/>
      <c r="B31" s="9" t="s">
        <v>13</v>
      </c>
      <c r="C31" s="22" t="s">
        <v>14</v>
      </c>
      <c r="D31" s="2"/>
      <c r="E31" s="4"/>
      <c r="F31" s="4"/>
      <c r="G31" s="2"/>
      <c r="H31" s="10"/>
      <c r="I31" s="2"/>
    </row>
    <row r="32" spans="1:9" x14ac:dyDescent="0.25">
      <c r="A32" s="2"/>
      <c r="B32" s="9"/>
      <c r="C32" s="4"/>
      <c r="D32" s="2"/>
      <c r="E32" s="4"/>
      <c r="F32" s="4"/>
      <c r="G32" s="2"/>
      <c r="H32" s="10"/>
      <c r="I32" s="2"/>
    </row>
    <row r="33" spans="1:9" x14ac:dyDescent="0.25">
      <c r="A33" s="2"/>
      <c r="B33" s="9"/>
      <c r="C33" s="4"/>
      <c r="D33" s="2"/>
      <c r="E33" s="4"/>
      <c r="F33" s="4"/>
      <c r="G33" s="2"/>
      <c r="H33" s="10"/>
      <c r="I33" s="2"/>
    </row>
    <row r="34" spans="1:9" x14ac:dyDescent="0.25">
      <c r="A34" s="2"/>
      <c r="B34" s="9"/>
      <c r="C34" s="4"/>
      <c r="D34" s="2"/>
      <c r="E34" s="4"/>
      <c r="F34" s="4"/>
      <c r="G34" s="2"/>
      <c r="H34" s="10"/>
      <c r="I34" s="2"/>
    </row>
    <row r="35" spans="1:9" x14ac:dyDescent="0.25">
      <c r="A35" s="2"/>
      <c r="B35" s="9"/>
      <c r="C35" s="4"/>
      <c r="D35" s="2"/>
      <c r="E35" s="4"/>
      <c r="F35" s="4"/>
      <c r="G35" s="2"/>
      <c r="H35" s="10"/>
      <c r="I35" s="2"/>
    </row>
    <row r="36" spans="1:9" ht="15.75" thickBot="1" x14ac:dyDescent="0.3">
      <c r="A36" s="2"/>
      <c r="B36" s="25"/>
      <c r="C36" s="12"/>
      <c r="D36" s="13"/>
      <c r="E36" s="12"/>
      <c r="F36" s="12"/>
      <c r="G36" s="13"/>
      <c r="H36" s="14"/>
      <c r="I36" s="2"/>
    </row>
    <row r="37" spans="1:9" ht="15" customHeight="1" x14ac:dyDescent="0.25">
      <c r="A37" s="2"/>
      <c r="B37" s="3"/>
      <c r="C37" s="4"/>
      <c r="D37" s="2"/>
      <c r="E37" s="4"/>
      <c r="F37" s="4"/>
      <c r="G37" s="2"/>
      <c r="H37" s="2"/>
      <c r="I37" s="2"/>
    </row>
    <row r="38" spans="1:9" ht="15" customHeight="1" thickBot="1" x14ac:dyDescent="0.3">
      <c r="A38" s="2"/>
      <c r="B38" s="3"/>
      <c r="C38" s="4"/>
      <c r="D38" s="2"/>
      <c r="E38" s="4"/>
      <c r="F38" s="4"/>
      <c r="G38" s="2"/>
      <c r="H38" s="2"/>
      <c r="I38" s="2"/>
    </row>
    <row r="39" spans="1:9" ht="40.5" customHeight="1" x14ac:dyDescent="0.25">
      <c r="A39" s="2"/>
      <c r="B39" s="5"/>
      <c r="C39" s="6"/>
      <c r="D39" s="7"/>
      <c r="E39" s="6"/>
      <c r="F39" s="6"/>
      <c r="G39" s="7"/>
      <c r="H39" s="8"/>
      <c r="I39" s="2"/>
    </row>
    <row r="40" spans="1:9" ht="15" customHeight="1" x14ac:dyDescent="0.25">
      <c r="A40" s="2"/>
      <c r="B40" s="15"/>
      <c r="C40" s="26"/>
      <c r="D40" s="27"/>
      <c r="E40" s="28"/>
      <c r="F40" s="4"/>
      <c r="G40" s="2"/>
      <c r="H40" s="10"/>
      <c r="I40" s="2"/>
    </row>
    <row r="41" spans="1:9" ht="15" hidden="1" customHeight="1" x14ac:dyDescent="0.25">
      <c r="A41" s="2"/>
      <c r="B41" s="9"/>
      <c r="C41" s="33"/>
      <c r="D41" s="27"/>
      <c r="E41" s="28"/>
      <c r="F41" s="4"/>
      <c r="G41" s="2"/>
      <c r="H41" s="10"/>
      <c r="I41" s="2"/>
    </row>
    <row r="42" spans="1:9" ht="31.5" customHeight="1" x14ac:dyDescent="0.25">
      <c r="A42" s="2"/>
      <c r="B42" s="29"/>
      <c r="C42" s="4"/>
      <c r="D42" s="4"/>
      <c r="E42" s="4"/>
      <c r="F42" s="4"/>
      <c r="G42" s="2"/>
      <c r="H42" s="10"/>
      <c r="I42" s="2"/>
    </row>
    <row r="43" spans="1:9" ht="15" customHeight="1" thickBot="1" x14ac:dyDescent="0.3">
      <c r="A43" s="2"/>
      <c r="B43" s="25"/>
      <c r="C43" s="12"/>
      <c r="D43" s="13"/>
      <c r="E43" s="12"/>
      <c r="F43" s="12"/>
      <c r="G43" s="13"/>
      <c r="H43" s="14"/>
      <c r="I43" s="2"/>
    </row>
    <row r="44" spans="1:9" ht="15" customHeight="1" x14ac:dyDescent="0.25">
      <c r="A44" s="2"/>
      <c r="B44" s="3"/>
      <c r="C44" s="4"/>
      <c r="D44" s="2"/>
      <c r="E44" s="4"/>
      <c r="F44" s="4"/>
      <c r="G44" s="2"/>
      <c r="H44" s="2"/>
      <c r="I44" s="2"/>
    </row>
  </sheetData>
  <sheetProtection algorithmName="SHA-512" hashValue="ZUHnxgMERYqExyDAtV/M2SgTPfltuoC4Nrgs+cIK+/0WRLIrSHtRAuHRvUJoFdsWlEg8+d5oR04NOKG3sll7FQ==" saltValue="voLx+lQX7PLQkBXWLexjUQ==" spinCount="100000" sheet="1" objects="1" scenarios="1"/>
  <protectedRanges>
    <protectedRange sqref="C16:G21 C28:C31" name="Range1"/>
  </protectedRanges>
  <mergeCells count="7">
    <mergeCell ref="C23:G23"/>
    <mergeCell ref="C24:G24"/>
    <mergeCell ref="C16:G16"/>
    <mergeCell ref="C18:G18"/>
    <mergeCell ref="C20:G20"/>
    <mergeCell ref="C21:G21"/>
    <mergeCell ref="C22:G22"/>
  </mergeCells>
  <pageMargins left="0.7" right="0.7" top="0.75" bottom="0.75" header="0.3" footer="0.3"/>
  <pageSetup orientation="portrait" r:id="rId1"/>
  <headerFooter>
    <oddFooter>&amp;C&amp;"Calibri,Regular"&amp;8Template produced by Jerrison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72"/>
  <sheetViews>
    <sheetView workbookViewId="0">
      <selection activeCell="A10" sqref="A10"/>
    </sheetView>
  </sheetViews>
  <sheetFormatPr defaultRowHeight="15" x14ac:dyDescent="0.25"/>
  <cols>
    <col min="1" max="1" width="19.28515625" style="45" bestFit="1" customWidth="1"/>
    <col min="2" max="2" width="77.7109375" style="46" customWidth="1"/>
    <col min="3" max="3" width="10" style="1" bestFit="1" customWidth="1"/>
    <col min="4" max="4" width="70.42578125" style="1" customWidth="1"/>
    <col min="5" max="5" width="61.42578125" bestFit="1" customWidth="1"/>
    <col min="6" max="6" width="20.28515625" bestFit="1" customWidth="1"/>
  </cols>
  <sheetData>
    <row r="1" spans="1:6" x14ac:dyDescent="0.25">
      <c r="A1" s="49" t="s">
        <v>52</v>
      </c>
      <c r="B1" s="50" t="s">
        <v>53</v>
      </c>
      <c r="C1" s="51" t="s">
        <v>50</v>
      </c>
      <c r="D1" s="48" t="s">
        <v>54</v>
      </c>
      <c r="E1" s="54" t="s">
        <v>51</v>
      </c>
      <c r="F1" s="54" t="s">
        <v>55</v>
      </c>
    </row>
    <row r="2" spans="1:6" x14ac:dyDescent="0.25">
      <c r="A2" t="s">
        <v>58</v>
      </c>
      <c r="B2" t="s">
        <v>59</v>
      </c>
      <c r="C2">
        <v>10</v>
      </c>
      <c r="D2" t="str">
        <f>IF(A2="","",E2&amp;"\"&amp;F2)</f>
        <v>C:\Users\Jerrison Chai\Documents\02 DEMO\DONE\20240216-1258\10_TW</v>
      </c>
      <c r="E2" t="str">
        <f>IF(A2="","",Dashboard!C$21)</f>
        <v>C:\Users\Jerrison Chai\Documents\02 DEMO\DONE\20240216-1258</v>
      </c>
      <c r="F2" t="str">
        <f>IF(A2="","",C2&amp;"_"&amp;RIGHT(A2,2))</f>
        <v>10_TW</v>
      </c>
    </row>
    <row r="3" spans="1:6" x14ac:dyDescent="0.25">
      <c r="A3" t="s">
        <v>60</v>
      </c>
      <c r="B3" t="s">
        <v>61</v>
      </c>
      <c r="C3">
        <v>11</v>
      </c>
      <c r="D3" t="str">
        <f t="shared" ref="D3:D40" si="0">IF(A3="","",E3&amp;"\"&amp;F3)</f>
        <v>C:\Users\Jerrison Chai\Documents\02 DEMO\DONE\20240216-1258\11_PH</v>
      </c>
      <c r="E3" t="str">
        <f>IF(A3="","",Dashboard!C$21)</f>
        <v>C:\Users\Jerrison Chai\Documents\02 DEMO\DONE\20240216-1258</v>
      </c>
      <c r="F3" t="str">
        <f t="shared" ref="F3:F40" si="1">IF(A3="","",C3&amp;"_"&amp;RIGHT(A3,2))</f>
        <v>11_PH</v>
      </c>
    </row>
    <row r="4" spans="1:6" x14ac:dyDescent="0.25">
      <c r="A4" t="s">
        <v>62</v>
      </c>
      <c r="B4" t="s">
        <v>63</v>
      </c>
      <c r="C4">
        <v>6</v>
      </c>
      <c r="D4" t="str">
        <f t="shared" si="0"/>
        <v>C:\Users\Jerrison Chai\Documents\02 DEMO\DONE\20240216-1258\6_MY</v>
      </c>
      <c r="E4" t="str">
        <f>IF(A4="","",Dashboard!C$21)</f>
        <v>C:\Users\Jerrison Chai\Documents\02 DEMO\DONE\20240216-1258</v>
      </c>
      <c r="F4" t="str">
        <f t="shared" si="1"/>
        <v>6_MY</v>
      </c>
    </row>
    <row r="5" spans="1:6" x14ac:dyDescent="0.25">
      <c r="A5" t="s">
        <v>64</v>
      </c>
      <c r="B5" t="s">
        <v>65</v>
      </c>
      <c r="C5">
        <v>15</v>
      </c>
      <c r="D5" t="str">
        <f t="shared" si="0"/>
        <v>C:\Users\Jerrison Chai\Documents\02 DEMO\DONE\20240216-1258\15_SG</v>
      </c>
      <c r="E5" t="str">
        <f>IF(A5="","",Dashboard!C$21)</f>
        <v>C:\Users\Jerrison Chai\Documents\02 DEMO\DONE\20240216-1258</v>
      </c>
      <c r="F5" t="str">
        <f t="shared" si="1"/>
        <v>15_SG</v>
      </c>
    </row>
    <row r="6" spans="1:6" x14ac:dyDescent="0.25">
      <c r="A6" t="s">
        <v>66</v>
      </c>
      <c r="B6" t="s">
        <v>67</v>
      </c>
      <c r="C6">
        <v>4</v>
      </c>
      <c r="D6" t="str">
        <f t="shared" si="0"/>
        <v>C:\Users\Jerrison Chai\Documents\02 DEMO\DONE\20240216-1258\4_VN</v>
      </c>
      <c r="E6" t="str">
        <f>IF(A6="","",Dashboard!C$21)</f>
        <v>C:\Users\Jerrison Chai\Documents\02 DEMO\DONE\20240216-1258</v>
      </c>
      <c r="F6" t="str">
        <f t="shared" si="1"/>
        <v>4_VN</v>
      </c>
    </row>
    <row r="7" spans="1:6" x14ac:dyDescent="0.25">
      <c r="A7" t="s">
        <v>68</v>
      </c>
      <c r="B7" t="s">
        <v>69</v>
      </c>
      <c r="C7">
        <v>5</v>
      </c>
      <c r="D7" t="str">
        <f t="shared" si="0"/>
        <v>C:\Users\Jerrison Chai\Documents\02 DEMO\DONE\20240216-1258\5_HK</v>
      </c>
      <c r="E7" t="str">
        <f>IF(A7="","",Dashboard!C$21)</f>
        <v>C:\Users\Jerrison Chai\Documents\02 DEMO\DONE\20240216-1258</v>
      </c>
      <c r="F7" t="str">
        <f t="shared" si="1"/>
        <v>5_HK</v>
      </c>
    </row>
    <row r="8" spans="1:6" x14ac:dyDescent="0.25">
      <c r="A8" t="s">
        <v>70</v>
      </c>
      <c r="B8" t="s">
        <v>71</v>
      </c>
      <c r="C8">
        <v>1</v>
      </c>
      <c r="D8" t="str">
        <f t="shared" si="0"/>
        <v>C:\Users\Jerrison Chai\Documents\02 DEMO\DONE\20240216-1258\1_TH</v>
      </c>
      <c r="E8" t="str">
        <f>IF(A8="","",Dashboard!C$21)</f>
        <v>C:\Users\Jerrison Chai\Documents\02 DEMO\DONE\20240216-1258</v>
      </c>
      <c r="F8" t="str">
        <f t="shared" si="1"/>
        <v>1_TH</v>
      </c>
    </row>
    <row r="9" spans="1:6" x14ac:dyDescent="0.25">
      <c r="A9" t="s">
        <v>72</v>
      </c>
      <c r="B9" t="s">
        <v>73</v>
      </c>
      <c r="C9">
        <v>6</v>
      </c>
      <c r="D9" t="str">
        <f t="shared" si="0"/>
        <v>C:\Users\Jerrison Chai\Documents\02 DEMO\DONE\20240216-1258\6_ID</v>
      </c>
      <c r="E9" t="str">
        <f>IF(A9="","",Dashboard!C$21)</f>
        <v>C:\Users\Jerrison Chai\Documents\02 DEMO\DONE\20240216-1258</v>
      </c>
      <c r="F9" t="str">
        <f t="shared" si="1"/>
        <v>6_ID</v>
      </c>
    </row>
    <row r="10" spans="1:6" x14ac:dyDescent="0.25">
      <c r="A10"/>
      <c r="B10"/>
      <c r="C10"/>
      <c r="D10" t="str">
        <f t="shared" si="0"/>
        <v/>
      </c>
      <c r="E10" t="str">
        <f>IF(A10="","",Dashboard!C$21)</f>
        <v/>
      </c>
      <c r="F10" t="str">
        <f t="shared" si="1"/>
        <v/>
      </c>
    </row>
    <row r="11" spans="1:6" x14ac:dyDescent="0.25">
      <c r="A11"/>
      <c r="B11"/>
      <c r="C11"/>
      <c r="D11" t="str">
        <f t="shared" si="0"/>
        <v/>
      </c>
      <c r="E11" t="str">
        <f>IF(A11="","",Dashboard!C$21)</f>
        <v/>
      </c>
      <c r="F11" t="str">
        <f t="shared" si="1"/>
        <v/>
      </c>
    </row>
    <row r="12" spans="1:6" x14ac:dyDescent="0.25">
      <c r="A12"/>
      <c r="B12"/>
      <c r="C12"/>
      <c r="D12" t="str">
        <f t="shared" si="0"/>
        <v/>
      </c>
      <c r="E12" t="str">
        <f>IF(A12="","",Dashboard!C$21)</f>
        <v/>
      </c>
      <c r="F12" t="str">
        <f t="shared" si="1"/>
        <v/>
      </c>
    </row>
    <row r="13" spans="1:6" x14ac:dyDescent="0.25">
      <c r="A13"/>
      <c r="B13"/>
      <c r="C13"/>
      <c r="D13" t="str">
        <f t="shared" si="0"/>
        <v/>
      </c>
      <c r="E13" t="str">
        <f>IF(A13="","",Dashboard!C$21)</f>
        <v/>
      </c>
      <c r="F13" t="str">
        <f t="shared" si="1"/>
        <v/>
      </c>
    </row>
    <row r="14" spans="1:6" x14ac:dyDescent="0.25">
      <c r="A14"/>
      <c r="B14"/>
      <c r="C14"/>
      <c r="D14" t="str">
        <f t="shared" si="0"/>
        <v/>
      </c>
      <c r="E14" t="str">
        <f>IF(A14="","",Dashboard!C$21)</f>
        <v/>
      </c>
      <c r="F14" t="str">
        <f t="shared" si="1"/>
        <v/>
      </c>
    </row>
    <row r="15" spans="1:6" x14ac:dyDescent="0.25">
      <c r="A15"/>
      <c r="B15"/>
      <c r="C15"/>
      <c r="D15" t="str">
        <f t="shared" si="0"/>
        <v/>
      </c>
      <c r="E15" t="str">
        <f>IF(A15="","",Dashboard!C$21)</f>
        <v/>
      </c>
      <c r="F15" t="str">
        <f t="shared" si="1"/>
        <v/>
      </c>
    </row>
    <row r="16" spans="1:6" x14ac:dyDescent="0.25">
      <c r="A16"/>
      <c r="B16"/>
      <c r="C16"/>
      <c r="D16" t="str">
        <f t="shared" si="0"/>
        <v/>
      </c>
      <c r="E16" t="str">
        <f>IF(A16="","",Dashboard!C$21)</f>
        <v/>
      </c>
      <c r="F16" t="str">
        <f t="shared" si="1"/>
        <v/>
      </c>
    </row>
    <row r="17" spans="1:6" x14ac:dyDescent="0.25">
      <c r="A17"/>
      <c r="B17"/>
      <c r="C17"/>
      <c r="D17" t="str">
        <f t="shared" si="0"/>
        <v/>
      </c>
      <c r="E17" t="str">
        <f>IF(A17="","",Dashboard!C$21)</f>
        <v/>
      </c>
      <c r="F17" t="str">
        <f t="shared" si="1"/>
        <v/>
      </c>
    </row>
    <row r="18" spans="1:6" x14ac:dyDescent="0.25">
      <c r="A18"/>
      <c r="B18"/>
      <c r="C18"/>
      <c r="D18" t="str">
        <f t="shared" si="0"/>
        <v/>
      </c>
      <c r="E18" t="str">
        <f>IF(A18="","",Dashboard!C$21)</f>
        <v/>
      </c>
      <c r="F18" t="str">
        <f t="shared" si="1"/>
        <v/>
      </c>
    </row>
    <row r="19" spans="1:6" x14ac:dyDescent="0.25">
      <c r="A19"/>
      <c r="B19"/>
      <c r="C19"/>
      <c r="D19" t="str">
        <f t="shared" si="0"/>
        <v/>
      </c>
      <c r="E19" t="str">
        <f>IF(A19="","",Dashboard!C$21)</f>
        <v/>
      </c>
      <c r="F19" t="str">
        <f t="shared" si="1"/>
        <v/>
      </c>
    </row>
    <row r="20" spans="1:6" x14ac:dyDescent="0.25">
      <c r="A20"/>
      <c r="B20"/>
      <c r="C20"/>
      <c r="D20" t="str">
        <f t="shared" si="0"/>
        <v/>
      </c>
      <c r="E20" t="str">
        <f>IF(A20="","",Dashboard!C$21)</f>
        <v/>
      </c>
      <c r="F20" t="str">
        <f t="shared" si="1"/>
        <v/>
      </c>
    </row>
    <row r="21" spans="1:6" x14ac:dyDescent="0.25">
      <c r="A21"/>
      <c r="B21"/>
      <c r="C21"/>
      <c r="D21" t="str">
        <f t="shared" si="0"/>
        <v/>
      </c>
      <c r="E21" t="str">
        <f>IF(A21="","",Dashboard!C$21)</f>
        <v/>
      </c>
      <c r="F21" t="str">
        <f t="shared" si="1"/>
        <v/>
      </c>
    </row>
    <row r="22" spans="1:6" x14ac:dyDescent="0.25">
      <c r="A22"/>
      <c r="B22"/>
      <c r="C22"/>
      <c r="D22" t="str">
        <f t="shared" si="0"/>
        <v/>
      </c>
      <c r="E22" t="str">
        <f>IF(A22="","",Dashboard!C$21)</f>
        <v/>
      </c>
      <c r="F22" t="str">
        <f t="shared" si="1"/>
        <v/>
      </c>
    </row>
    <row r="23" spans="1:6" x14ac:dyDescent="0.25">
      <c r="A23"/>
      <c r="B23"/>
      <c r="C23"/>
      <c r="D23" t="str">
        <f t="shared" si="0"/>
        <v/>
      </c>
      <c r="E23" t="str">
        <f>IF(A23="","",Dashboard!C$21)</f>
        <v/>
      </c>
      <c r="F23" t="str">
        <f t="shared" si="1"/>
        <v/>
      </c>
    </row>
    <row r="24" spans="1:6" x14ac:dyDescent="0.25">
      <c r="A24"/>
      <c r="B24"/>
      <c r="C24"/>
      <c r="D24" t="str">
        <f t="shared" si="0"/>
        <v/>
      </c>
      <c r="E24" t="str">
        <f>IF(A24="","",Dashboard!C$21)</f>
        <v/>
      </c>
      <c r="F24" t="str">
        <f t="shared" si="1"/>
        <v/>
      </c>
    </row>
    <row r="25" spans="1:6" x14ac:dyDescent="0.25">
      <c r="A25"/>
      <c r="B25"/>
      <c r="C25"/>
      <c r="D25" t="str">
        <f t="shared" si="0"/>
        <v/>
      </c>
      <c r="E25" t="str">
        <f>IF(A25="","",Dashboard!C$21)</f>
        <v/>
      </c>
      <c r="F25" t="str">
        <f t="shared" si="1"/>
        <v/>
      </c>
    </row>
    <row r="26" spans="1:6" x14ac:dyDescent="0.25">
      <c r="A26"/>
      <c r="B26"/>
      <c r="C26"/>
      <c r="D26" t="str">
        <f t="shared" si="0"/>
        <v/>
      </c>
      <c r="E26" t="str">
        <f>IF(A26="","",Dashboard!C$21)</f>
        <v/>
      </c>
      <c r="F26" t="str">
        <f t="shared" si="1"/>
        <v/>
      </c>
    </row>
    <row r="27" spans="1:6" x14ac:dyDescent="0.25">
      <c r="A27"/>
      <c r="B27"/>
      <c r="C27"/>
      <c r="D27" t="str">
        <f t="shared" si="0"/>
        <v/>
      </c>
      <c r="E27" t="str">
        <f>IF(A27="","",Dashboard!C$21)</f>
        <v/>
      </c>
      <c r="F27" t="str">
        <f t="shared" si="1"/>
        <v/>
      </c>
    </row>
    <row r="28" spans="1:6" x14ac:dyDescent="0.25">
      <c r="A28"/>
      <c r="B28"/>
      <c r="C28"/>
      <c r="D28" t="str">
        <f t="shared" si="0"/>
        <v/>
      </c>
      <c r="E28" t="str">
        <f>IF(A28="","",Dashboard!C$21)</f>
        <v/>
      </c>
      <c r="F28" t="str">
        <f t="shared" si="1"/>
        <v/>
      </c>
    </row>
    <row r="29" spans="1:6" x14ac:dyDescent="0.25">
      <c r="A29"/>
      <c r="B29"/>
      <c r="C29"/>
      <c r="D29" t="str">
        <f t="shared" si="0"/>
        <v/>
      </c>
      <c r="E29" t="str">
        <f>IF(A29="","",Dashboard!C$21)</f>
        <v/>
      </c>
      <c r="F29" t="str">
        <f t="shared" si="1"/>
        <v/>
      </c>
    </row>
    <row r="30" spans="1:6" x14ac:dyDescent="0.25">
      <c r="A30"/>
      <c r="B30"/>
      <c r="C30"/>
      <c r="D30" t="str">
        <f t="shared" si="0"/>
        <v/>
      </c>
      <c r="E30" t="str">
        <f>IF(A30="","",Dashboard!C$21)</f>
        <v/>
      </c>
      <c r="F30" t="str">
        <f t="shared" si="1"/>
        <v/>
      </c>
    </row>
    <row r="31" spans="1:6" x14ac:dyDescent="0.25">
      <c r="A31"/>
      <c r="B31"/>
      <c r="C31"/>
      <c r="D31" t="str">
        <f t="shared" si="0"/>
        <v/>
      </c>
      <c r="E31" t="str">
        <f>IF(A31="","",Dashboard!C$21)</f>
        <v/>
      </c>
      <c r="F31" t="str">
        <f t="shared" si="1"/>
        <v/>
      </c>
    </row>
    <row r="32" spans="1:6" x14ac:dyDescent="0.25">
      <c r="A32"/>
      <c r="B32"/>
      <c r="C32"/>
      <c r="D32" t="str">
        <f t="shared" si="0"/>
        <v/>
      </c>
      <c r="E32" t="str">
        <f>IF(A32="","",Dashboard!C$21)</f>
        <v/>
      </c>
      <c r="F32" t="str">
        <f t="shared" si="1"/>
        <v/>
      </c>
    </row>
    <row r="33" spans="1:6" x14ac:dyDescent="0.25">
      <c r="A33"/>
      <c r="B33"/>
      <c r="C33"/>
      <c r="D33" t="str">
        <f t="shared" si="0"/>
        <v/>
      </c>
      <c r="E33" t="str">
        <f>IF(A33="","",Dashboard!C$21)</f>
        <v/>
      </c>
      <c r="F33" t="str">
        <f t="shared" si="1"/>
        <v/>
      </c>
    </row>
    <row r="34" spans="1:6" x14ac:dyDescent="0.25">
      <c r="A34"/>
      <c r="B34"/>
      <c r="C34"/>
      <c r="D34" t="str">
        <f t="shared" si="0"/>
        <v/>
      </c>
      <c r="E34" t="str">
        <f>IF(A34="","",Dashboard!C$21)</f>
        <v/>
      </c>
      <c r="F34" t="str">
        <f t="shared" si="1"/>
        <v/>
      </c>
    </row>
    <row r="35" spans="1:6" x14ac:dyDescent="0.25">
      <c r="A35"/>
      <c r="B35"/>
      <c r="C35"/>
      <c r="D35" t="str">
        <f t="shared" si="0"/>
        <v/>
      </c>
      <c r="E35" t="str">
        <f>IF(A35="","",Dashboard!C$21)</f>
        <v/>
      </c>
      <c r="F35" t="str">
        <f t="shared" si="1"/>
        <v/>
      </c>
    </row>
    <row r="36" spans="1:6" x14ac:dyDescent="0.25">
      <c r="A36"/>
      <c r="B36"/>
      <c r="C36"/>
      <c r="D36" t="str">
        <f t="shared" si="0"/>
        <v/>
      </c>
      <c r="E36" t="str">
        <f>IF(A36="","",Dashboard!C$21)</f>
        <v/>
      </c>
      <c r="F36" t="str">
        <f t="shared" si="1"/>
        <v/>
      </c>
    </row>
    <row r="37" spans="1:6" x14ac:dyDescent="0.25">
      <c r="A37"/>
      <c r="B37"/>
      <c r="C37"/>
      <c r="D37" t="str">
        <f t="shared" si="0"/>
        <v/>
      </c>
      <c r="E37" t="str">
        <f>IF(A37="","",Dashboard!C$21)</f>
        <v/>
      </c>
      <c r="F37" t="str">
        <f t="shared" si="1"/>
        <v/>
      </c>
    </row>
    <row r="38" spans="1:6" x14ac:dyDescent="0.25">
      <c r="A38"/>
      <c r="B38"/>
      <c r="C38"/>
      <c r="D38" t="str">
        <f t="shared" si="0"/>
        <v/>
      </c>
      <c r="E38" t="str">
        <f>IF(A38="","",Dashboard!C$21)</f>
        <v/>
      </c>
      <c r="F38" t="str">
        <f t="shared" si="1"/>
        <v/>
      </c>
    </row>
    <row r="39" spans="1:6" x14ac:dyDescent="0.25">
      <c r="A39"/>
      <c r="B39"/>
      <c r="C39"/>
      <c r="D39" t="str">
        <f t="shared" si="0"/>
        <v/>
      </c>
      <c r="E39" t="str">
        <f>IF(A39="","",Dashboard!C$21)</f>
        <v/>
      </c>
      <c r="F39" t="str">
        <f t="shared" si="1"/>
        <v/>
      </c>
    </row>
    <row r="40" spans="1:6" x14ac:dyDescent="0.25">
      <c r="A40"/>
      <c r="B40"/>
      <c r="C40"/>
      <c r="D40" t="str">
        <f t="shared" si="0"/>
        <v/>
      </c>
      <c r="E40" t="str">
        <f>IF(A40="","",Dashboard!C$21)</f>
        <v/>
      </c>
      <c r="F40" t="str">
        <f t="shared" si="1"/>
        <v/>
      </c>
    </row>
    <row r="41" spans="1:6" s="52" customFormat="1" x14ac:dyDescent="0.25">
      <c r="B41" s="53"/>
    </row>
    <row r="42" spans="1:6" x14ac:dyDescent="0.25">
      <c r="A42"/>
      <c r="B42" s="47"/>
      <c r="C42"/>
      <c r="D42"/>
    </row>
    <row r="43" spans="1:6" x14ac:dyDescent="0.25">
      <c r="A43"/>
      <c r="B43" s="47"/>
      <c r="C43"/>
      <c r="D43"/>
    </row>
    <row r="44" spans="1:6" x14ac:dyDescent="0.25">
      <c r="A44"/>
      <c r="B44" s="47"/>
      <c r="C44"/>
      <c r="D44"/>
    </row>
    <row r="45" spans="1:6" x14ac:dyDescent="0.25">
      <c r="A45"/>
      <c r="B45" s="47"/>
      <c r="C45"/>
      <c r="D45"/>
    </row>
    <row r="46" spans="1:6" x14ac:dyDescent="0.25">
      <c r="A46"/>
      <c r="B46" s="47"/>
      <c r="C46"/>
      <c r="D46"/>
    </row>
    <row r="47" spans="1:6" x14ac:dyDescent="0.25">
      <c r="A47"/>
      <c r="B47" s="47"/>
      <c r="C47"/>
      <c r="D47"/>
    </row>
    <row r="48" spans="1:6" x14ac:dyDescent="0.25">
      <c r="A48"/>
      <c r="B48" s="47"/>
      <c r="C48"/>
      <c r="D48"/>
    </row>
    <row r="49" spans="1:4" x14ac:dyDescent="0.25">
      <c r="A49"/>
      <c r="B49" s="47"/>
      <c r="C49"/>
      <c r="D49"/>
    </row>
    <row r="50" spans="1:4" x14ac:dyDescent="0.25">
      <c r="A50"/>
      <c r="B50" s="47"/>
      <c r="C50"/>
      <c r="D50"/>
    </row>
    <row r="51" spans="1:4" x14ac:dyDescent="0.25">
      <c r="A51"/>
      <c r="B51" s="47"/>
      <c r="C51"/>
      <c r="D51"/>
    </row>
    <row r="52" spans="1:4" x14ac:dyDescent="0.25">
      <c r="A52"/>
      <c r="B52" s="47"/>
      <c r="C52"/>
      <c r="D52"/>
    </row>
    <row r="53" spans="1:4" x14ac:dyDescent="0.25">
      <c r="A53"/>
      <c r="B53" s="47"/>
      <c r="C53"/>
      <c r="D53"/>
    </row>
    <row r="54" spans="1:4" x14ac:dyDescent="0.25">
      <c r="A54"/>
      <c r="B54" s="47"/>
      <c r="C54"/>
      <c r="D54"/>
    </row>
    <row r="55" spans="1:4" x14ac:dyDescent="0.25">
      <c r="A55"/>
      <c r="B55" s="47"/>
      <c r="C55"/>
      <c r="D55"/>
    </row>
    <row r="56" spans="1:4" x14ac:dyDescent="0.25">
      <c r="A56"/>
      <c r="B56" s="47"/>
      <c r="C56"/>
      <c r="D56"/>
    </row>
    <row r="57" spans="1:4" x14ac:dyDescent="0.25">
      <c r="A57"/>
      <c r="B57" s="47"/>
      <c r="C57"/>
      <c r="D57"/>
    </row>
    <row r="58" spans="1:4" x14ac:dyDescent="0.25">
      <c r="A58"/>
      <c r="B58" s="47"/>
      <c r="C58"/>
      <c r="D58"/>
    </row>
    <row r="59" spans="1:4" x14ac:dyDescent="0.25">
      <c r="A59"/>
      <c r="B59" s="47"/>
      <c r="C59"/>
      <c r="D59"/>
    </row>
    <row r="60" spans="1:4" x14ac:dyDescent="0.25">
      <c r="A60"/>
      <c r="B60" s="47"/>
      <c r="C60"/>
      <c r="D60"/>
    </row>
    <row r="61" spans="1:4" x14ac:dyDescent="0.25">
      <c r="A61"/>
      <c r="B61" s="47"/>
      <c r="C61"/>
      <c r="D61"/>
    </row>
    <row r="62" spans="1:4" x14ac:dyDescent="0.25">
      <c r="A62"/>
      <c r="B62" s="47"/>
      <c r="C62"/>
      <c r="D62"/>
    </row>
    <row r="63" spans="1:4" x14ac:dyDescent="0.25">
      <c r="A63"/>
      <c r="B63" s="47"/>
      <c r="C63"/>
      <c r="D63"/>
    </row>
    <row r="64" spans="1:4" x14ac:dyDescent="0.25">
      <c r="A64"/>
      <c r="B64" s="47"/>
      <c r="C64"/>
      <c r="D64"/>
    </row>
    <row r="65" spans="1:4" x14ac:dyDescent="0.25">
      <c r="A65"/>
      <c r="B65" s="47"/>
      <c r="C65"/>
      <c r="D65"/>
    </row>
    <row r="66" spans="1:4" x14ac:dyDescent="0.25">
      <c r="A66"/>
      <c r="B66" s="47"/>
      <c r="C66"/>
      <c r="D66"/>
    </row>
    <row r="67" spans="1:4" x14ac:dyDescent="0.25">
      <c r="A67"/>
      <c r="B67" s="47"/>
      <c r="C67"/>
      <c r="D67"/>
    </row>
    <row r="68" spans="1:4" x14ac:dyDescent="0.25">
      <c r="A68"/>
      <c r="B68" s="47"/>
      <c r="C68"/>
      <c r="D68"/>
    </row>
    <row r="69" spans="1:4" x14ac:dyDescent="0.25">
      <c r="A69"/>
      <c r="B69" s="47"/>
      <c r="C69"/>
      <c r="D69"/>
    </row>
    <row r="70" spans="1:4" x14ac:dyDescent="0.25">
      <c r="A70"/>
      <c r="B70" s="47"/>
      <c r="C70"/>
      <c r="D70"/>
    </row>
    <row r="71" spans="1:4" x14ac:dyDescent="0.25">
      <c r="A71"/>
      <c r="B71" s="47"/>
      <c r="C71"/>
      <c r="D71"/>
    </row>
    <row r="72" spans="1:4" x14ac:dyDescent="0.25">
      <c r="A72"/>
      <c r="B72" s="47"/>
      <c r="C72"/>
      <c r="D72"/>
    </row>
  </sheetData>
  <pageMargins left="0.7" right="0.7" top="0.75" bottom="0.75" header="0.3" footer="0.3"/>
  <pageSetup orientation="portrait" r:id="rId1"/>
  <headerFooter>
    <oddFooter>&amp;C&amp;"Calibri,Regular"&amp;8Template produced by Jerrison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9"/>
  <sheetViews>
    <sheetView workbookViewId="0">
      <selection activeCell="C11" sqref="C11"/>
    </sheetView>
  </sheetViews>
  <sheetFormatPr defaultRowHeight="15" x14ac:dyDescent="0.25"/>
  <cols>
    <col min="1" max="1" width="12.5703125" bestFit="1" customWidth="1"/>
    <col min="2" max="2" width="11" bestFit="1" customWidth="1"/>
    <col min="3" max="3" width="35.28515625" customWidth="1"/>
  </cols>
  <sheetData>
    <row r="1" spans="1:3" x14ac:dyDescent="0.25">
      <c r="A1" t="s">
        <v>33</v>
      </c>
      <c r="B1" t="s">
        <v>4</v>
      </c>
      <c r="C1" t="s">
        <v>30</v>
      </c>
    </row>
    <row r="2" spans="1:3" x14ac:dyDescent="0.25">
      <c r="A2" t="s">
        <v>34</v>
      </c>
      <c r="B2" t="s">
        <v>23</v>
      </c>
      <c r="C2" t="s">
        <v>31</v>
      </c>
    </row>
    <row r="3" spans="1:3" x14ac:dyDescent="0.25">
      <c r="A3" t="s">
        <v>36</v>
      </c>
      <c r="B3" t="s">
        <v>24</v>
      </c>
      <c r="C3" t="s">
        <v>32</v>
      </c>
    </row>
    <row r="4" spans="1:3" x14ac:dyDescent="0.25">
      <c r="A4" t="s">
        <v>35</v>
      </c>
      <c r="B4" t="s">
        <v>25</v>
      </c>
      <c r="C4" t="s">
        <v>31</v>
      </c>
    </row>
    <row r="5" spans="1:3" x14ac:dyDescent="0.25">
      <c r="A5" t="s">
        <v>37</v>
      </c>
      <c r="B5" t="s">
        <v>26</v>
      </c>
      <c r="C5" t="s">
        <v>32</v>
      </c>
    </row>
    <row r="6" spans="1:3" x14ac:dyDescent="0.25">
      <c r="A6" t="s">
        <v>38</v>
      </c>
      <c r="B6" t="s">
        <v>27</v>
      </c>
      <c r="C6" t="s">
        <v>31</v>
      </c>
    </row>
    <row r="7" spans="1:3" x14ac:dyDescent="0.25">
      <c r="A7" t="s">
        <v>39</v>
      </c>
      <c r="B7" t="s">
        <v>28</v>
      </c>
      <c r="C7" t="s">
        <v>32</v>
      </c>
    </row>
    <row r="8" spans="1:3" x14ac:dyDescent="0.25">
      <c r="A8" t="s">
        <v>40</v>
      </c>
      <c r="B8" t="s">
        <v>29</v>
      </c>
      <c r="C8" t="s">
        <v>31</v>
      </c>
    </row>
    <row r="9" spans="1:3" x14ac:dyDescent="0.25">
      <c r="A9" t="s">
        <v>43</v>
      </c>
      <c r="B9" t="s">
        <v>42</v>
      </c>
      <c r="C9" t="s">
        <v>32</v>
      </c>
    </row>
  </sheetData>
  <pageMargins left="0.7" right="0.7" top="0.75" bottom="0.75" header="0.3" footer="0.3"/>
  <pageSetup orientation="portrait" r:id="rId1"/>
  <headerFooter>
    <oddFooter>&amp;C&amp;"Calibri,Regular"&amp;8Template produced by Jerrison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H11"/>
  <sheetViews>
    <sheetView workbookViewId="0">
      <pane ySplit="1" topLeftCell="A2" activePane="bottomLeft" state="frozen"/>
      <selection pane="bottomLeft" activeCell="D12" sqref="D12"/>
    </sheetView>
  </sheetViews>
  <sheetFormatPr defaultRowHeight="15" x14ac:dyDescent="0.25"/>
  <cols>
    <col min="1" max="1" width="23.28515625" customWidth="1"/>
    <col min="2" max="2" width="23.28515625" style="32" customWidth="1"/>
    <col min="3" max="3" width="23.28515625" customWidth="1"/>
    <col min="4" max="4" width="108.85546875" customWidth="1"/>
    <col min="5" max="5" width="39.140625" bestFit="1" customWidth="1"/>
  </cols>
  <sheetData>
    <row r="1" spans="1:8" x14ac:dyDescent="0.25">
      <c r="A1" s="30" t="s">
        <v>15</v>
      </c>
      <c r="B1" s="31" t="s">
        <v>16</v>
      </c>
      <c r="C1" s="30" t="s">
        <v>17</v>
      </c>
      <c r="D1" s="30" t="s">
        <v>74</v>
      </c>
      <c r="E1" s="30" t="s">
        <v>18</v>
      </c>
      <c r="H1" t="s">
        <v>17</v>
      </c>
    </row>
    <row r="2" spans="1:8" x14ac:dyDescent="0.25">
      <c r="A2" t="s">
        <v>57</v>
      </c>
      <c r="B2" s="32">
        <v>45338.625717592593</v>
      </c>
      <c r="C2" t="s">
        <v>14</v>
      </c>
      <c r="D2" t="s">
        <v>19</v>
      </c>
    </row>
    <row r="3" spans="1:8" x14ac:dyDescent="0.25">
      <c r="A3" t="s">
        <v>57</v>
      </c>
      <c r="B3" s="32">
        <v>45338.625717592593</v>
      </c>
      <c r="C3" t="s">
        <v>14</v>
      </c>
      <c r="D3" t="s">
        <v>20</v>
      </c>
    </row>
    <row r="4" spans="1:8" x14ac:dyDescent="0.25">
      <c r="A4" t="s">
        <v>57</v>
      </c>
      <c r="B4" s="32">
        <v>45338.628865740742</v>
      </c>
      <c r="C4" t="s">
        <v>14</v>
      </c>
      <c r="D4" t="s">
        <v>19</v>
      </c>
    </row>
    <row r="5" spans="1:8" x14ac:dyDescent="0.25">
      <c r="A5" t="s">
        <v>57</v>
      </c>
      <c r="B5" s="32">
        <v>45338.628865740742</v>
      </c>
      <c r="C5" t="s">
        <v>14</v>
      </c>
      <c r="D5" t="s">
        <v>20</v>
      </c>
    </row>
    <row r="6" spans="1:8" x14ac:dyDescent="0.25">
      <c r="A6" t="s">
        <v>57</v>
      </c>
      <c r="B6" s="32">
        <v>45338.629282407404</v>
      </c>
      <c r="C6" t="s">
        <v>14</v>
      </c>
      <c r="D6" t="s">
        <v>19</v>
      </c>
    </row>
    <row r="7" spans="1:8" x14ac:dyDescent="0.25">
      <c r="A7" t="s">
        <v>57</v>
      </c>
      <c r="B7" s="32">
        <v>45338.629282407404</v>
      </c>
      <c r="C7" t="s">
        <v>14</v>
      </c>
      <c r="D7" t="s">
        <v>20</v>
      </c>
    </row>
    <row r="8" spans="1:8" x14ac:dyDescent="0.25">
      <c r="A8" t="e">
        <v>#REF!</v>
      </c>
      <c r="B8" s="32">
        <v>45636.657754629632</v>
      </c>
      <c r="C8" t="s">
        <v>14</v>
      </c>
      <c r="D8" t="s">
        <v>75</v>
      </c>
      <c r="E8" t="s">
        <v>76</v>
      </c>
    </row>
    <row r="9" spans="1:8" x14ac:dyDescent="0.25">
      <c r="A9" t="e">
        <v>#REF!</v>
      </c>
      <c r="B9" s="32">
        <v>45636.657754629632</v>
      </c>
      <c r="C9" t="s">
        <v>14</v>
      </c>
      <c r="D9" t="s">
        <v>77</v>
      </c>
      <c r="E9" t="s">
        <v>76</v>
      </c>
      <c r="F9" t="s">
        <v>78</v>
      </c>
    </row>
    <row r="10" spans="1:8" x14ac:dyDescent="0.25">
      <c r="A10" t="e">
        <v>#REF!</v>
      </c>
      <c r="B10" s="32">
        <v>45895.711388888885</v>
      </c>
      <c r="C10" t="s">
        <v>14</v>
      </c>
      <c r="D10" t="s">
        <v>75</v>
      </c>
      <c r="E10" t="s">
        <v>76</v>
      </c>
    </row>
    <row r="11" spans="1:8" x14ac:dyDescent="0.25">
      <c r="A11" t="e">
        <v>#REF!</v>
      </c>
      <c r="B11" s="32">
        <v>45895.711388888885</v>
      </c>
      <c r="C11" t="s">
        <v>14</v>
      </c>
      <c r="D11" t="s">
        <v>77</v>
      </c>
      <c r="E11" t="s">
        <v>76</v>
      </c>
      <c r="F11" t="s">
        <v>17</v>
      </c>
    </row>
  </sheetData>
  <sheetProtection algorithmName="SHA-512" hashValue="r9626o2/QXsDj8avwiJrztgJDhMkexdCpJDYGvtoHtyasHqpvVjRcZo4WGmpU/Hg4N2v1xl7QiR0Dyjx0CmXhg==" saltValue="rWz53MVNsMECWKSAQmuKow==" spinCount="100000" sheet="1" objects="1" scenarios="1"/>
  <pageMargins left="0.7" right="0.7" top="0.75" bottom="0.75" header="0.3" footer="0.3"/>
  <pageSetup orientation="portrait" r:id="rId1"/>
  <headerFooter>
    <oddFooter>&amp;C&amp;"Calibri,Regular"&amp;8Template produced by Jerrison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</vt:i4>
      </vt:variant>
    </vt:vector>
  </HeadingPairs>
  <TitlesOfParts>
    <vt:vector size="9" baseType="lpstr">
      <vt:lpstr>Dashboard</vt:lpstr>
      <vt:lpstr>Data</vt:lpstr>
      <vt:lpstr>Reference</vt:lpstr>
      <vt:lpstr>LOG</vt:lpstr>
      <vt:lpstr>Email_Body</vt:lpstr>
      <vt:lpstr>Start_Time</vt:lpstr>
      <vt:lpstr>Status</vt:lpstr>
      <vt:lpstr>Time_Taken</vt:lpstr>
      <vt:lpstr>UserName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JerrisonSignature</dc:creator>
  <dc:description>Template produced by Jerrison | Repo: VBA-Utility-Library/vba-file-folder-utils | v2025-08-20 | SignedOn=2025-08-20 10:03 | GUID=RND-20250820100351-890645</dc:description>
  <cp:lastModifiedBy>Jerrison Chai</cp:lastModifiedBy>
  <dcterms:created xsi:type="dcterms:W3CDTF">2023-12-22T10:31:45Z</dcterms:created>
  <dcterms:modified xsi:type="dcterms:W3CDTF">2025-08-26T09:07:15Z</dcterms:modified>
</cp:coreProperties>
</file>