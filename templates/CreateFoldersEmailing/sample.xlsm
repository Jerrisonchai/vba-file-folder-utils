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rrison Chai\Documents\09 Github\GH02 Repositories\vba-utility\vba-file-folder-utils\CreateFoldersEmailing\"/>
    </mc:Choice>
  </mc:AlternateContent>
  <xr:revisionPtr revIDLastSave="0" documentId="13_ncr:1_{E777502B-6119-46C6-A007-46506EF03D84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Dashboard" sheetId="2" r:id="rId1"/>
    <sheet name="Data" sheetId="1" r:id="rId2"/>
    <sheet name="GroupEmail" sheetId="6" r:id="rId3"/>
    <sheet name="Reference" sheetId="5" r:id="rId4"/>
    <sheet name="LOG" sheetId="4" r:id="rId5"/>
  </sheets>
  <definedNames>
    <definedName name="_xlnm._FilterDatabase" localSheetId="1" hidden="1">Data!$A$1:$F$61</definedName>
    <definedName name="_JERR" hidden="1">"Template produced by Jerrison"</definedName>
    <definedName name="Email_Body">Dashboard!$C$12</definedName>
    <definedName name="Start_Time">Dashboard!$C$29</definedName>
    <definedName name="Status">Dashboard!$C$28</definedName>
    <definedName name="Time_Taken">Dashboard!$C$30</definedName>
    <definedName name="UserName">Dashboard!$C$31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6" i="2" l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K73" i="1"/>
  <c r="L73" i="1"/>
  <c r="K74" i="1"/>
  <c r="L74" i="1"/>
  <c r="K75" i="1"/>
  <c r="L75" i="1"/>
  <c r="K76" i="1"/>
  <c r="L76" i="1"/>
  <c r="K77" i="1"/>
  <c r="L77" i="1"/>
  <c r="K78" i="1"/>
  <c r="L78" i="1"/>
  <c r="K79" i="1"/>
  <c r="L79" i="1"/>
  <c r="K80" i="1"/>
  <c r="L80" i="1"/>
  <c r="K81" i="1"/>
  <c r="L81" i="1"/>
  <c r="K82" i="1"/>
  <c r="L82" i="1"/>
  <c r="K83" i="1"/>
  <c r="L83" i="1"/>
  <c r="K84" i="1"/>
  <c r="L84" i="1"/>
  <c r="K85" i="1"/>
  <c r="L85" i="1"/>
  <c r="K86" i="1"/>
  <c r="L86" i="1"/>
  <c r="K87" i="1"/>
  <c r="L87" i="1"/>
  <c r="K88" i="1"/>
  <c r="L88" i="1"/>
  <c r="K89" i="1"/>
  <c r="L89" i="1"/>
  <c r="K90" i="1"/>
  <c r="L90" i="1"/>
  <c r="K91" i="1"/>
  <c r="L91" i="1"/>
  <c r="K92" i="1"/>
  <c r="L92" i="1"/>
  <c r="K93" i="1"/>
  <c r="L93" i="1"/>
  <c r="K94" i="1"/>
  <c r="L94" i="1"/>
  <c r="K95" i="1"/>
  <c r="L95" i="1"/>
  <c r="K96" i="1"/>
  <c r="L96" i="1"/>
  <c r="K97" i="1"/>
  <c r="L97" i="1"/>
  <c r="K98" i="1"/>
  <c r="L98" i="1"/>
  <c r="K99" i="1"/>
  <c r="L99" i="1"/>
  <c r="K100" i="1"/>
  <c r="L100" i="1"/>
  <c r="K101" i="1"/>
  <c r="L101" i="1"/>
  <c r="K102" i="1"/>
  <c r="L102" i="1"/>
  <c r="K103" i="1"/>
  <c r="L103" i="1"/>
  <c r="K104" i="1"/>
  <c r="L104" i="1"/>
  <c r="K105" i="1"/>
  <c r="L105" i="1"/>
  <c r="K106" i="1"/>
  <c r="L106" i="1"/>
  <c r="K107" i="1"/>
  <c r="L107" i="1"/>
  <c r="K108" i="1"/>
  <c r="L108" i="1"/>
  <c r="K109" i="1"/>
  <c r="L109" i="1"/>
  <c r="K110" i="1"/>
  <c r="L110" i="1"/>
  <c r="K111" i="1"/>
  <c r="L111" i="1"/>
  <c r="K112" i="1"/>
  <c r="L112" i="1"/>
  <c r="K113" i="1"/>
  <c r="L113" i="1"/>
  <c r="K114" i="1"/>
  <c r="L114" i="1"/>
  <c r="K115" i="1"/>
  <c r="L115" i="1"/>
  <c r="K116" i="1"/>
  <c r="L116" i="1"/>
  <c r="K117" i="1"/>
  <c r="L117" i="1"/>
  <c r="K118" i="1"/>
  <c r="L118" i="1"/>
  <c r="K119" i="1"/>
  <c r="L119" i="1"/>
  <c r="K120" i="1"/>
  <c r="L120" i="1"/>
  <c r="K121" i="1"/>
  <c r="L121" i="1"/>
  <c r="K122" i="1"/>
  <c r="L122" i="1"/>
  <c r="K123" i="1"/>
  <c r="L123" i="1"/>
  <c r="K124" i="1"/>
  <c r="L124" i="1"/>
  <c r="K125" i="1"/>
  <c r="L125" i="1"/>
  <c r="K126" i="1"/>
  <c r="L126" i="1"/>
  <c r="K127" i="1"/>
  <c r="L127" i="1"/>
  <c r="K128" i="1"/>
  <c r="L128" i="1"/>
  <c r="K129" i="1"/>
  <c r="L129" i="1"/>
  <c r="K130" i="1"/>
  <c r="L130" i="1"/>
  <c r="K131" i="1"/>
  <c r="L131" i="1"/>
  <c r="K132" i="1"/>
  <c r="L132" i="1"/>
  <c r="K133" i="1"/>
  <c r="L133" i="1"/>
  <c r="K134" i="1"/>
  <c r="L134" i="1"/>
  <c r="K135" i="1"/>
  <c r="L135" i="1"/>
  <c r="K136" i="1"/>
  <c r="L136" i="1"/>
  <c r="K137" i="1"/>
  <c r="L137" i="1"/>
  <c r="K138" i="1"/>
  <c r="L138" i="1"/>
  <c r="K139" i="1"/>
  <c r="L139" i="1"/>
  <c r="K140" i="1"/>
  <c r="L140" i="1"/>
  <c r="K141" i="1"/>
  <c r="L141" i="1"/>
  <c r="K142" i="1"/>
  <c r="L142" i="1"/>
  <c r="K143" i="1"/>
  <c r="L143" i="1"/>
  <c r="K144" i="1"/>
  <c r="L144" i="1"/>
  <c r="K145" i="1"/>
  <c r="L145" i="1"/>
  <c r="K146" i="1"/>
  <c r="L146" i="1"/>
  <c r="K147" i="1"/>
  <c r="L147" i="1"/>
  <c r="K148" i="1"/>
  <c r="L148" i="1"/>
  <c r="K149" i="1"/>
  <c r="L149" i="1"/>
  <c r="K150" i="1"/>
  <c r="L150" i="1"/>
  <c r="K151" i="1"/>
  <c r="L151" i="1"/>
  <c r="K152" i="1"/>
  <c r="L152" i="1"/>
  <c r="K153" i="1"/>
  <c r="L153" i="1"/>
  <c r="K154" i="1"/>
  <c r="L154" i="1"/>
  <c r="K155" i="1"/>
  <c r="L155" i="1"/>
  <c r="K156" i="1"/>
  <c r="L156" i="1"/>
  <c r="K157" i="1"/>
  <c r="L157" i="1"/>
  <c r="K158" i="1"/>
  <c r="L158" i="1"/>
  <c r="K159" i="1"/>
  <c r="L159" i="1"/>
  <c r="K160" i="1"/>
  <c r="L160" i="1"/>
  <c r="K161" i="1"/>
  <c r="L161" i="1"/>
  <c r="K162" i="1"/>
  <c r="L162" i="1"/>
  <c r="K163" i="1"/>
  <c r="L163" i="1"/>
  <c r="K164" i="1"/>
  <c r="L164" i="1"/>
  <c r="K165" i="1"/>
  <c r="L165" i="1"/>
  <c r="K166" i="1"/>
  <c r="L166" i="1"/>
  <c r="K167" i="1"/>
  <c r="L167" i="1"/>
  <c r="K168" i="1"/>
  <c r="L168" i="1"/>
  <c r="K169" i="1"/>
  <c r="L169" i="1"/>
  <c r="K170" i="1"/>
  <c r="L170" i="1"/>
  <c r="K171" i="1"/>
  <c r="L171" i="1"/>
  <c r="K172" i="1"/>
  <c r="L172" i="1"/>
  <c r="K173" i="1"/>
  <c r="L173" i="1"/>
  <c r="K174" i="1"/>
  <c r="L174" i="1"/>
  <c r="K175" i="1"/>
  <c r="L175" i="1"/>
  <c r="K176" i="1"/>
  <c r="L176" i="1"/>
  <c r="K177" i="1"/>
  <c r="L177" i="1"/>
  <c r="K178" i="1"/>
  <c r="L178" i="1"/>
  <c r="K179" i="1"/>
  <c r="L179" i="1"/>
  <c r="K180" i="1"/>
  <c r="L180" i="1"/>
  <c r="K181" i="1"/>
  <c r="L181" i="1"/>
  <c r="K182" i="1"/>
  <c r="L182" i="1"/>
  <c r="K183" i="1"/>
  <c r="L183" i="1"/>
  <c r="K184" i="1"/>
  <c r="L184" i="1"/>
  <c r="K185" i="1"/>
  <c r="L185" i="1"/>
  <c r="K186" i="1"/>
  <c r="L186" i="1"/>
  <c r="K187" i="1"/>
  <c r="L187" i="1"/>
  <c r="K188" i="1"/>
  <c r="L188" i="1"/>
  <c r="K189" i="1"/>
  <c r="L189" i="1"/>
  <c r="K190" i="1"/>
  <c r="L190" i="1"/>
  <c r="K191" i="1"/>
  <c r="L191" i="1"/>
  <c r="K192" i="1"/>
  <c r="L192" i="1"/>
  <c r="K193" i="1"/>
  <c r="L193" i="1"/>
  <c r="K194" i="1"/>
  <c r="L194" i="1"/>
  <c r="K195" i="1"/>
  <c r="L195" i="1"/>
  <c r="K196" i="1"/>
  <c r="L196" i="1"/>
  <c r="K197" i="1"/>
  <c r="L197" i="1"/>
  <c r="K198" i="1"/>
  <c r="L198" i="1"/>
  <c r="K199" i="1"/>
  <c r="L199" i="1"/>
  <c r="K200" i="1"/>
  <c r="L200" i="1"/>
  <c r="K201" i="1"/>
  <c r="L201" i="1"/>
  <c r="K202" i="1"/>
  <c r="L202" i="1"/>
  <c r="K203" i="1"/>
  <c r="L203" i="1"/>
  <c r="K204" i="1"/>
  <c r="L204" i="1"/>
  <c r="K205" i="1"/>
  <c r="L205" i="1"/>
  <c r="K206" i="1"/>
  <c r="L206" i="1"/>
  <c r="K207" i="1"/>
  <c r="L207" i="1"/>
  <c r="K208" i="1"/>
  <c r="L208" i="1"/>
  <c r="K209" i="1"/>
  <c r="L209" i="1"/>
  <c r="K210" i="1"/>
  <c r="L210" i="1"/>
  <c r="K211" i="1"/>
  <c r="L211" i="1"/>
  <c r="K212" i="1"/>
  <c r="L212" i="1"/>
  <c r="K213" i="1"/>
  <c r="L213" i="1"/>
  <c r="K214" i="1"/>
  <c r="L214" i="1"/>
  <c r="K215" i="1"/>
  <c r="L215" i="1"/>
  <c r="K216" i="1"/>
  <c r="L216" i="1"/>
  <c r="K217" i="1"/>
  <c r="L217" i="1"/>
  <c r="K218" i="1"/>
  <c r="L218" i="1"/>
  <c r="K219" i="1"/>
  <c r="L219" i="1"/>
  <c r="K220" i="1"/>
  <c r="L220" i="1"/>
  <c r="K221" i="1"/>
  <c r="L221" i="1"/>
  <c r="K222" i="1"/>
  <c r="L222" i="1"/>
  <c r="K223" i="1"/>
  <c r="L223" i="1"/>
  <c r="K224" i="1"/>
  <c r="L224" i="1"/>
  <c r="K225" i="1"/>
  <c r="L225" i="1"/>
  <c r="K226" i="1"/>
  <c r="L226" i="1"/>
  <c r="K227" i="1"/>
  <c r="L227" i="1"/>
  <c r="K228" i="1"/>
  <c r="L228" i="1"/>
  <c r="K229" i="1"/>
  <c r="L229" i="1"/>
  <c r="K230" i="1"/>
  <c r="L230" i="1"/>
  <c r="K231" i="1"/>
  <c r="L231" i="1"/>
  <c r="K232" i="1"/>
  <c r="L232" i="1"/>
  <c r="K233" i="1"/>
  <c r="L233" i="1"/>
  <c r="K234" i="1"/>
  <c r="L234" i="1"/>
  <c r="K235" i="1"/>
  <c r="L235" i="1"/>
  <c r="K236" i="1"/>
  <c r="L236" i="1"/>
  <c r="K237" i="1"/>
  <c r="L237" i="1"/>
  <c r="K238" i="1"/>
  <c r="L238" i="1"/>
  <c r="K239" i="1"/>
  <c r="L239" i="1"/>
  <c r="K240" i="1"/>
  <c r="L240" i="1"/>
  <c r="K241" i="1"/>
  <c r="L241" i="1"/>
  <c r="K242" i="1"/>
  <c r="L242" i="1"/>
  <c r="K243" i="1"/>
  <c r="L243" i="1"/>
  <c r="K244" i="1"/>
  <c r="L244" i="1"/>
  <c r="K245" i="1"/>
  <c r="L245" i="1"/>
  <c r="K246" i="1"/>
  <c r="L246" i="1"/>
  <c r="K247" i="1"/>
  <c r="L247" i="1"/>
  <c r="K248" i="1"/>
  <c r="L248" i="1"/>
  <c r="K249" i="1"/>
  <c r="L249" i="1"/>
  <c r="K250" i="1"/>
  <c r="L250" i="1"/>
  <c r="K251" i="1"/>
  <c r="L251" i="1"/>
  <c r="K252" i="1"/>
  <c r="L252" i="1"/>
  <c r="K253" i="1"/>
  <c r="L253" i="1"/>
  <c r="K254" i="1"/>
  <c r="L254" i="1"/>
  <c r="K255" i="1"/>
  <c r="L255" i="1"/>
  <c r="K256" i="1"/>
  <c r="L256" i="1"/>
  <c r="K257" i="1"/>
  <c r="L257" i="1"/>
  <c r="K258" i="1"/>
  <c r="L258" i="1"/>
  <c r="K259" i="1"/>
  <c r="L259" i="1"/>
  <c r="K260" i="1"/>
  <c r="L260" i="1"/>
  <c r="K261" i="1"/>
  <c r="L261" i="1"/>
  <c r="K262" i="1"/>
  <c r="L262" i="1"/>
  <c r="K263" i="1"/>
  <c r="L263" i="1"/>
  <c r="K264" i="1"/>
  <c r="L264" i="1"/>
  <c r="K265" i="1"/>
  <c r="L265" i="1"/>
  <c r="K266" i="1"/>
  <c r="L266" i="1"/>
  <c r="K267" i="1"/>
  <c r="L267" i="1"/>
  <c r="K268" i="1"/>
  <c r="L268" i="1"/>
  <c r="K269" i="1"/>
  <c r="L269" i="1"/>
  <c r="K270" i="1"/>
  <c r="L270" i="1"/>
  <c r="K271" i="1"/>
  <c r="L271" i="1"/>
  <c r="K272" i="1"/>
  <c r="L272" i="1"/>
  <c r="K273" i="1"/>
  <c r="L273" i="1"/>
  <c r="K274" i="1"/>
  <c r="L274" i="1"/>
  <c r="K275" i="1"/>
  <c r="L275" i="1"/>
  <c r="K276" i="1"/>
  <c r="L276" i="1"/>
  <c r="K277" i="1"/>
  <c r="L277" i="1"/>
  <c r="K278" i="1"/>
  <c r="L278" i="1"/>
  <c r="K279" i="1"/>
  <c r="L279" i="1"/>
  <c r="K280" i="1"/>
  <c r="L280" i="1"/>
  <c r="K281" i="1"/>
  <c r="L281" i="1"/>
  <c r="K282" i="1"/>
  <c r="L282" i="1"/>
  <c r="K283" i="1"/>
  <c r="L283" i="1"/>
  <c r="K284" i="1"/>
  <c r="L284" i="1"/>
  <c r="K285" i="1"/>
  <c r="L285" i="1"/>
  <c r="K286" i="1"/>
  <c r="L286" i="1"/>
  <c r="K287" i="1"/>
  <c r="L287" i="1"/>
  <c r="K288" i="1"/>
  <c r="L288" i="1"/>
  <c r="K289" i="1"/>
  <c r="L289" i="1"/>
  <c r="K290" i="1"/>
  <c r="L290" i="1"/>
  <c r="K291" i="1"/>
  <c r="L291" i="1"/>
  <c r="K292" i="1"/>
  <c r="L292" i="1"/>
  <c r="K293" i="1"/>
  <c r="L293" i="1"/>
  <c r="K294" i="1"/>
  <c r="L294" i="1"/>
  <c r="K295" i="1"/>
  <c r="L295" i="1"/>
  <c r="K296" i="1"/>
  <c r="L296" i="1"/>
  <c r="K297" i="1"/>
  <c r="L297" i="1"/>
  <c r="K298" i="1"/>
  <c r="L298" i="1"/>
  <c r="K299" i="1"/>
  <c r="L299" i="1"/>
  <c r="K300" i="1"/>
  <c r="L300" i="1"/>
  <c r="K301" i="1"/>
  <c r="L301" i="1"/>
  <c r="L2" i="1"/>
  <c r="C23" i="2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H3" i="1"/>
  <c r="I3" i="1" s="1"/>
  <c r="K3" i="1" s="1"/>
  <c r="H4" i="1"/>
  <c r="I4" i="1" s="1"/>
  <c r="K4" i="1" s="1"/>
  <c r="H5" i="1"/>
  <c r="E5" i="1" s="1"/>
  <c r="F5" i="1" s="1"/>
  <c r="H6" i="1"/>
  <c r="E6" i="1" s="1"/>
  <c r="F6" i="1" s="1"/>
  <c r="H7" i="1"/>
  <c r="I7" i="1" s="1"/>
  <c r="K7" i="1" s="1"/>
  <c r="H8" i="1"/>
  <c r="J8" i="1" s="1"/>
  <c r="H9" i="1"/>
  <c r="I9" i="1" s="1"/>
  <c r="K9" i="1" s="1"/>
  <c r="H10" i="1"/>
  <c r="E10" i="1" s="1"/>
  <c r="F10" i="1" s="1"/>
  <c r="H11" i="1"/>
  <c r="J11" i="1" s="1"/>
  <c r="H12" i="1"/>
  <c r="J12" i="1" s="1"/>
  <c r="H13" i="1"/>
  <c r="E13" i="1" s="1"/>
  <c r="F13" i="1" s="1"/>
  <c r="H14" i="1"/>
  <c r="J14" i="1" s="1"/>
  <c r="H15" i="1"/>
  <c r="I15" i="1" s="1"/>
  <c r="K15" i="1" s="1"/>
  <c r="H16" i="1"/>
  <c r="I16" i="1" s="1"/>
  <c r="K16" i="1" s="1"/>
  <c r="H17" i="1"/>
  <c r="I17" i="1" s="1"/>
  <c r="K17" i="1" s="1"/>
  <c r="H18" i="1"/>
  <c r="E18" i="1" s="1"/>
  <c r="F18" i="1" s="1"/>
  <c r="H19" i="1"/>
  <c r="E19" i="1" s="1"/>
  <c r="F19" i="1" s="1"/>
  <c r="H20" i="1"/>
  <c r="I20" i="1" s="1"/>
  <c r="K20" i="1" s="1"/>
  <c r="H21" i="1"/>
  <c r="J21" i="1" s="1"/>
  <c r="H22" i="1"/>
  <c r="J22" i="1" s="1"/>
  <c r="H23" i="1"/>
  <c r="E23" i="1" s="1"/>
  <c r="F23" i="1" s="1"/>
  <c r="H24" i="1"/>
  <c r="I24" i="1" s="1"/>
  <c r="K24" i="1" s="1"/>
  <c r="H25" i="1"/>
  <c r="E25" i="1" s="1"/>
  <c r="F25" i="1" s="1"/>
  <c r="H26" i="1"/>
  <c r="E26" i="1" s="1"/>
  <c r="F26" i="1" s="1"/>
  <c r="H27" i="1"/>
  <c r="I27" i="1" s="1"/>
  <c r="K27" i="1" s="1"/>
  <c r="H28" i="1"/>
  <c r="I28" i="1" s="1"/>
  <c r="K28" i="1" s="1"/>
  <c r="H29" i="1"/>
  <c r="E29" i="1" s="1"/>
  <c r="F29" i="1" s="1"/>
  <c r="H30" i="1"/>
  <c r="E30" i="1" s="1"/>
  <c r="F30" i="1" s="1"/>
  <c r="H31" i="1"/>
  <c r="E31" i="1" s="1"/>
  <c r="F31" i="1" s="1"/>
  <c r="H32" i="1"/>
  <c r="E32" i="1" s="1"/>
  <c r="F32" i="1" s="1"/>
  <c r="H33" i="1"/>
  <c r="I33" i="1" s="1"/>
  <c r="K33" i="1" s="1"/>
  <c r="H34" i="1"/>
  <c r="E34" i="1" s="1"/>
  <c r="F34" i="1" s="1"/>
  <c r="H35" i="1"/>
  <c r="E35" i="1" s="1"/>
  <c r="F35" i="1" s="1"/>
  <c r="H36" i="1"/>
  <c r="E36" i="1" s="1"/>
  <c r="F36" i="1" s="1"/>
  <c r="H37" i="1"/>
  <c r="E37" i="1" s="1"/>
  <c r="F37" i="1" s="1"/>
  <c r="H38" i="1"/>
  <c r="E38" i="1" s="1"/>
  <c r="F38" i="1" s="1"/>
  <c r="H39" i="1"/>
  <c r="I39" i="1" s="1"/>
  <c r="K39" i="1" s="1"/>
  <c r="H40" i="1"/>
  <c r="I40" i="1" s="1"/>
  <c r="K40" i="1" s="1"/>
  <c r="H41" i="1"/>
  <c r="E41" i="1" s="1"/>
  <c r="F41" i="1" s="1"/>
  <c r="H42" i="1"/>
  <c r="E42" i="1" s="1"/>
  <c r="F42" i="1" s="1"/>
  <c r="H43" i="1"/>
  <c r="E43" i="1" s="1"/>
  <c r="F43" i="1" s="1"/>
  <c r="H44" i="1"/>
  <c r="E44" i="1" s="1"/>
  <c r="F44" i="1" s="1"/>
  <c r="H45" i="1"/>
  <c r="E45" i="1" s="1"/>
  <c r="F45" i="1" s="1"/>
  <c r="H46" i="1"/>
  <c r="I46" i="1" s="1"/>
  <c r="K46" i="1" s="1"/>
  <c r="H47" i="1"/>
  <c r="I47" i="1" s="1"/>
  <c r="K47" i="1" s="1"/>
  <c r="H48" i="1"/>
  <c r="E48" i="1" s="1"/>
  <c r="F48" i="1" s="1"/>
  <c r="H49" i="1"/>
  <c r="E49" i="1" s="1"/>
  <c r="F49" i="1" s="1"/>
  <c r="H50" i="1"/>
  <c r="I50" i="1" s="1"/>
  <c r="K50" i="1" s="1"/>
  <c r="H51" i="1"/>
  <c r="I51" i="1" s="1"/>
  <c r="K51" i="1" s="1"/>
  <c r="H52" i="1"/>
  <c r="E52" i="1" s="1"/>
  <c r="F52" i="1" s="1"/>
  <c r="H53" i="1"/>
  <c r="E53" i="1" s="1"/>
  <c r="F53" i="1" s="1"/>
  <c r="H54" i="1"/>
  <c r="I54" i="1" s="1"/>
  <c r="K54" i="1" s="1"/>
  <c r="H55" i="1"/>
  <c r="I55" i="1" s="1"/>
  <c r="K55" i="1" s="1"/>
  <c r="H56" i="1"/>
  <c r="J56" i="1" s="1"/>
  <c r="H57" i="1"/>
  <c r="E57" i="1" s="1"/>
  <c r="F57" i="1" s="1"/>
  <c r="H58" i="1"/>
  <c r="E58" i="1" s="1"/>
  <c r="F58" i="1" s="1"/>
  <c r="H59" i="1"/>
  <c r="I59" i="1" s="1"/>
  <c r="K59" i="1" s="1"/>
  <c r="H60" i="1"/>
  <c r="E60" i="1" s="1"/>
  <c r="F60" i="1" s="1"/>
  <c r="H61" i="1"/>
  <c r="E61" i="1" s="1"/>
  <c r="F61" i="1" s="1"/>
  <c r="H62" i="1"/>
  <c r="E62" i="1" s="1"/>
  <c r="F62" i="1" s="1"/>
  <c r="H63" i="1"/>
  <c r="J63" i="1" s="1"/>
  <c r="H64" i="1"/>
  <c r="E64" i="1" s="1"/>
  <c r="F64" i="1" s="1"/>
  <c r="H65" i="1"/>
  <c r="J65" i="1" s="1"/>
  <c r="H66" i="1"/>
  <c r="E66" i="1" s="1"/>
  <c r="F66" i="1" s="1"/>
  <c r="H67" i="1"/>
  <c r="I67" i="1" s="1"/>
  <c r="K67" i="1" s="1"/>
  <c r="H68" i="1"/>
  <c r="J68" i="1" s="1"/>
  <c r="H69" i="1"/>
  <c r="E69" i="1" s="1"/>
  <c r="F69" i="1" s="1"/>
  <c r="H70" i="1"/>
  <c r="I70" i="1" s="1"/>
  <c r="K70" i="1" s="1"/>
  <c r="H71" i="1"/>
  <c r="E71" i="1" s="1"/>
  <c r="F71" i="1" s="1"/>
  <c r="H72" i="1"/>
  <c r="E72" i="1" s="1"/>
  <c r="F72" i="1" s="1"/>
  <c r="H73" i="1"/>
  <c r="J73" i="1"/>
  <c r="H74" i="1"/>
  <c r="J74" i="1"/>
  <c r="H75" i="1"/>
  <c r="J75" i="1"/>
  <c r="H76" i="1"/>
  <c r="J76" i="1"/>
  <c r="H77" i="1"/>
  <c r="J77" i="1"/>
  <c r="H78" i="1"/>
  <c r="J78" i="1"/>
  <c r="H79" i="1"/>
  <c r="J79" i="1"/>
  <c r="H80" i="1"/>
  <c r="J80" i="1"/>
  <c r="H81" i="1"/>
  <c r="J81" i="1"/>
  <c r="H82" i="1"/>
  <c r="J82" i="1"/>
  <c r="H83" i="1"/>
  <c r="J83" i="1"/>
  <c r="H84" i="1"/>
  <c r="J84" i="1"/>
  <c r="H85" i="1"/>
  <c r="J85" i="1"/>
  <c r="H86" i="1"/>
  <c r="J86" i="1"/>
  <c r="H87" i="1"/>
  <c r="J87" i="1"/>
  <c r="H88" i="1"/>
  <c r="J88" i="1"/>
  <c r="H89" i="1"/>
  <c r="J89" i="1"/>
  <c r="H90" i="1"/>
  <c r="J90" i="1"/>
  <c r="H91" i="1"/>
  <c r="J91" i="1"/>
  <c r="H92" i="1"/>
  <c r="J92" i="1"/>
  <c r="H93" i="1"/>
  <c r="J93" i="1"/>
  <c r="H94" i="1"/>
  <c r="J94" i="1"/>
  <c r="H95" i="1"/>
  <c r="J95" i="1"/>
  <c r="H96" i="1"/>
  <c r="J96" i="1"/>
  <c r="H97" i="1"/>
  <c r="J97" i="1"/>
  <c r="H98" i="1"/>
  <c r="J98" i="1"/>
  <c r="H99" i="1"/>
  <c r="J99" i="1"/>
  <c r="H100" i="1"/>
  <c r="J100" i="1"/>
  <c r="H101" i="1"/>
  <c r="J101" i="1"/>
  <c r="H102" i="1"/>
  <c r="J102" i="1"/>
  <c r="H103" i="1"/>
  <c r="J103" i="1"/>
  <c r="H104" i="1"/>
  <c r="J104" i="1"/>
  <c r="H105" i="1"/>
  <c r="J105" i="1"/>
  <c r="H106" i="1"/>
  <c r="J106" i="1"/>
  <c r="H107" i="1"/>
  <c r="J107" i="1"/>
  <c r="H108" i="1"/>
  <c r="J108" i="1"/>
  <c r="H109" i="1"/>
  <c r="J109" i="1"/>
  <c r="H110" i="1"/>
  <c r="J110" i="1"/>
  <c r="H111" i="1"/>
  <c r="J111" i="1"/>
  <c r="H112" i="1"/>
  <c r="J112" i="1"/>
  <c r="H113" i="1"/>
  <c r="J113" i="1"/>
  <c r="H114" i="1"/>
  <c r="J114" i="1"/>
  <c r="H115" i="1"/>
  <c r="J115" i="1"/>
  <c r="H116" i="1"/>
  <c r="J116" i="1"/>
  <c r="H117" i="1"/>
  <c r="J117" i="1"/>
  <c r="H118" i="1"/>
  <c r="J118" i="1"/>
  <c r="H119" i="1"/>
  <c r="J119" i="1"/>
  <c r="H120" i="1"/>
  <c r="J120" i="1"/>
  <c r="H121" i="1"/>
  <c r="J121" i="1"/>
  <c r="H122" i="1"/>
  <c r="J122" i="1"/>
  <c r="H123" i="1"/>
  <c r="J123" i="1"/>
  <c r="H124" i="1"/>
  <c r="J124" i="1"/>
  <c r="H125" i="1"/>
  <c r="J125" i="1"/>
  <c r="H126" i="1"/>
  <c r="J126" i="1"/>
  <c r="H127" i="1"/>
  <c r="J127" i="1"/>
  <c r="H128" i="1"/>
  <c r="J128" i="1"/>
  <c r="H129" i="1"/>
  <c r="J129" i="1"/>
  <c r="H130" i="1"/>
  <c r="J130" i="1"/>
  <c r="H131" i="1"/>
  <c r="J131" i="1"/>
  <c r="H132" i="1"/>
  <c r="J132" i="1"/>
  <c r="H133" i="1"/>
  <c r="J133" i="1"/>
  <c r="H134" i="1"/>
  <c r="J134" i="1"/>
  <c r="H135" i="1"/>
  <c r="J135" i="1"/>
  <c r="H136" i="1"/>
  <c r="J136" i="1"/>
  <c r="H137" i="1"/>
  <c r="J137" i="1"/>
  <c r="H138" i="1"/>
  <c r="J138" i="1"/>
  <c r="H139" i="1"/>
  <c r="J139" i="1"/>
  <c r="H140" i="1"/>
  <c r="J140" i="1"/>
  <c r="H141" i="1"/>
  <c r="J141" i="1"/>
  <c r="H142" i="1"/>
  <c r="J142" i="1"/>
  <c r="H143" i="1"/>
  <c r="J143" i="1"/>
  <c r="H144" i="1"/>
  <c r="J144" i="1"/>
  <c r="H145" i="1"/>
  <c r="J145" i="1"/>
  <c r="H146" i="1"/>
  <c r="J146" i="1"/>
  <c r="H147" i="1"/>
  <c r="J147" i="1"/>
  <c r="H148" i="1"/>
  <c r="J148" i="1"/>
  <c r="H149" i="1"/>
  <c r="J149" i="1"/>
  <c r="H150" i="1"/>
  <c r="J150" i="1"/>
  <c r="H151" i="1"/>
  <c r="J151" i="1"/>
  <c r="H152" i="1"/>
  <c r="J152" i="1"/>
  <c r="H153" i="1"/>
  <c r="J153" i="1"/>
  <c r="H154" i="1"/>
  <c r="J154" i="1"/>
  <c r="H155" i="1"/>
  <c r="J155" i="1"/>
  <c r="H156" i="1"/>
  <c r="J156" i="1"/>
  <c r="H157" i="1"/>
  <c r="J157" i="1"/>
  <c r="H158" i="1"/>
  <c r="J158" i="1"/>
  <c r="H159" i="1"/>
  <c r="J159" i="1"/>
  <c r="H160" i="1"/>
  <c r="J160" i="1"/>
  <c r="H161" i="1"/>
  <c r="J161" i="1"/>
  <c r="H162" i="1"/>
  <c r="J162" i="1"/>
  <c r="H163" i="1"/>
  <c r="J163" i="1"/>
  <c r="H164" i="1"/>
  <c r="J164" i="1"/>
  <c r="H165" i="1"/>
  <c r="J165" i="1"/>
  <c r="H166" i="1"/>
  <c r="J166" i="1"/>
  <c r="H167" i="1"/>
  <c r="J167" i="1"/>
  <c r="H168" i="1"/>
  <c r="J168" i="1"/>
  <c r="H169" i="1"/>
  <c r="J169" i="1"/>
  <c r="H170" i="1"/>
  <c r="J170" i="1"/>
  <c r="H171" i="1"/>
  <c r="J171" i="1"/>
  <c r="H172" i="1"/>
  <c r="J172" i="1"/>
  <c r="H173" i="1"/>
  <c r="J173" i="1"/>
  <c r="H174" i="1"/>
  <c r="J174" i="1"/>
  <c r="H175" i="1"/>
  <c r="J175" i="1"/>
  <c r="H176" i="1"/>
  <c r="J176" i="1"/>
  <c r="H177" i="1"/>
  <c r="J177" i="1"/>
  <c r="H178" i="1"/>
  <c r="J178" i="1"/>
  <c r="H179" i="1"/>
  <c r="J179" i="1"/>
  <c r="H180" i="1"/>
  <c r="J180" i="1"/>
  <c r="H181" i="1"/>
  <c r="J181" i="1"/>
  <c r="H182" i="1"/>
  <c r="J182" i="1"/>
  <c r="H183" i="1"/>
  <c r="J183" i="1"/>
  <c r="H184" i="1"/>
  <c r="J184" i="1"/>
  <c r="H185" i="1"/>
  <c r="J185" i="1"/>
  <c r="H186" i="1"/>
  <c r="J186" i="1"/>
  <c r="H187" i="1"/>
  <c r="J187" i="1"/>
  <c r="H188" i="1"/>
  <c r="J188" i="1"/>
  <c r="H189" i="1"/>
  <c r="J189" i="1"/>
  <c r="H190" i="1"/>
  <c r="J190" i="1"/>
  <c r="H191" i="1"/>
  <c r="J191" i="1"/>
  <c r="H192" i="1"/>
  <c r="J192" i="1"/>
  <c r="H193" i="1"/>
  <c r="J193" i="1"/>
  <c r="H194" i="1"/>
  <c r="J194" i="1"/>
  <c r="H195" i="1"/>
  <c r="J195" i="1"/>
  <c r="H196" i="1"/>
  <c r="J196" i="1"/>
  <c r="H197" i="1"/>
  <c r="J197" i="1"/>
  <c r="H198" i="1"/>
  <c r="J198" i="1"/>
  <c r="H199" i="1"/>
  <c r="J199" i="1"/>
  <c r="H200" i="1"/>
  <c r="J200" i="1"/>
  <c r="H201" i="1"/>
  <c r="J201" i="1"/>
  <c r="H202" i="1"/>
  <c r="J202" i="1"/>
  <c r="H203" i="1"/>
  <c r="J203" i="1"/>
  <c r="H204" i="1"/>
  <c r="J204" i="1"/>
  <c r="H205" i="1"/>
  <c r="J205" i="1"/>
  <c r="H206" i="1"/>
  <c r="J206" i="1"/>
  <c r="H207" i="1"/>
  <c r="J207" i="1"/>
  <c r="H208" i="1"/>
  <c r="J208" i="1"/>
  <c r="H209" i="1"/>
  <c r="J209" i="1"/>
  <c r="H210" i="1"/>
  <c r="J210" i="1"/>
  <c r="H211" i="1"/>
  <c r="J211" i="1"/>
  <c r="H212" i="1"/>
  <c r="J212" i="1"/>
  <c r="H213" i="1"/>
  <c r="J213" i="1"/>
  <c r="H214" i="1"/>
  <c r="J214" i="1"/>
  <c r="H215" i="1"/>
  <c r="J215" i="1"/>
  <c r="H216" i="1"/>
  <c r="J216" i="1"/>
  <c r="H217" i="1"/>
  <c r="J217" i="1"/>
  <c r="H218" i="1"/>
  <c r="J218" i="1"/>
  <c r="H219" i="1"/>
  <c r="J219" i="1"/>
  <c r="H220" i="1"/>
  <c r="J220" i="1"/>
  <c r="H221" i="1"/>
  <c r="J221" i="1"/>
  <c r="H222" i="1"/>
  <c r="J222" i="1"/>
  <c r="H223" i="1"/>
  <c r="J223" i="1"/>
  <c r="H224" i="1"/>
  <c r="J224" i="1"/>
  <c r="H225" i="1"/>
  <c r="J225" i="1"/>
  <c r="H226" i="1"/>
  <c r="J226" i="1"/>
  <c r="H227" i="1"/>
  <c r="J227" i="1"/>
  <c r="H228" i="1"/>
  <c r="J228" i="1"/>
  <c r="H229" i="1"/>
  <c r="J229" i="1"/>
  <c r="H230" i="1"/>
  <c r="J230" i="1"/>
  <c r="H231" i="1"/>
  <c r="J231" i="1"/>
  <c r="H232" i="1"/>
  <c r="J232" i="1"/>
  <c r="H233" i="1"/>
  <c r="J233" i="1"/>
  <c r="H234" i="1"/>
  <c r="J234" i="1"/>
  <c r="H235" i="1"/>
  <c r="J235" i="1"/>
  <c r="H236" i="1"/>
  <c r="J236" i="1"/>
  <c r="H237" i="1"/>
  <c r="J237" i="1"/>
  <c r="H238" i="1"/>
  <c r="J238" i="1"/>
  <c r="H239" i="1"/>
  <c r="J239" i="1"/>
  <c r="H240" i="1"/>
  <c r="J240" i="1"/>
  <c r="H241" i="1"/>
  <c r="J241" i="1"/>
  <c r="H242" i="1"/>
  <c r="J242" i="1"/>
  <c r="H243" i="1"/>
  <c r="J243" i="1"/>
  <c r="H244" i="1"/>
  <c r="J244" i="1"/>
  <c r="H245" i="1"/>
  <c r="J245" i="1"/>
  <c r="H246" i="1"/>
  <c r="J246" i="1"/>
  <c r="H247" i="1"/>
  <c r="J247" i="1"/>
  <c r="H248" i="1"/>
  <c r="J248" i="1"/>
  <c r="H249" i="1"/>
  <c r="J249" i="1"/>
  <c r="H250" i="1"/>
  <c r="J250" i="1"/>
  <c r="H251" i="1"/>
  <c r="J251" i="1"/>
  <c r="H252" i="1"/>
  <c r="J252" i="1"/>
  <c r="H253" i="1"/>
  <c r="J253" i="1"/>
  <c r="H254" i="1"/>
  <c r="J254" i="1"/>
  <c r="H255" i="1"/>
  <c r="J255" i="1"/>
  <c r="H256" i="1"/>
  <c r="J256" i="1"/>
  <c r="H257" i="1"/>
  <c r="J257" i="1"/>
  <c r="H258" i="1"/>
  <c r="J258" i="1"/>
  <c r="H259" i="1"/>
  <c r="J259" i="1"/>
  <c r="H260" i="1"/>
  <c r="J260" i="1"/>
  <c r="H261" i="1"/>
  <c r="J261" i="1"/>
  <c r="H262" i="1"/>
  <c r="J262" i="1"/>
  <c r="H263" i="1"/>
  <c r="J263" i="1"/>
  <c r="H264" i="1"/>
  <c r="J264" i="1"/>
  <c r="H265" i="1"/>
  <c r="J265" i="1"/>
  <c r="H266" i="1"/>
  <c r="J266" i="1"/>
  <c r="H267" i="1"/>
  <c r="J267" i="1"/>
  <c r="H268" i="1"/>
  <c r="J268" i="1"/>
  <c r="H269" i="1"/>
  <c r="J269" i="1"/>
  <c r="H270" i="1"/>
  <c r="J270" i="1"/>
  <c r="H271" i="1"/>
  <c r="J271" i="1"/>
  <c r="H272" i="1"/>
  <c r="J272" i="1"/>
  <c r="H273" i="1"/>
  <c r="J273" i="1"/>
  <c r="H274" i="1"/>
  <c r="J274" i="1"/>
  <c r="H275" i="1"/>
  <c r="J275" i="1"/>
  <c r="H276" i="1"/>
  <c r="J276" i="1"/>
  <c r="H277" i="1"/>
  <c r="J277" i="1"/>
  <c r="H278" i="1"/>
  <c r="J278" i="1"/>
  <c r="H279" i="1"/>
  <c r="J279" i="1"/>
  <c r="H280" i="1"/>
  <c r="J280" i="1"/>
  <c r="H281" i="1"/>
  <c r="J281" i="1"/>
  <c r="H282" i="1"/>
  <c r="J282" i="1"/>
  <c r="H283" i="1"/>
  <c r="J283" i="1"/>
  <c r="H284" i="1"/>
  <c r="J284" i="1"/>
  <c r="H285" i="1"/>
  <c r="J285" i="1"/>
  <c r="H286" i="1"/>
  <c r="J286" i="1"/>
  <c r="H287" i="1"/>
  <c r="J287" i="1"/>
  <c r="H288" i="1"/>
  <c r="J288" i="1"/>
  <c r="H289" i="1"/>
  <c r="J289" i="1"/>
  <c r="H290" i="1"/>
  <c r="J290" i="1"/>
  <c r="H291" i="1"/>
  <c r="J291" i="1"/>
  <c r="H292" i="1"/>
  <c r="J292" i="1"/>
  <c r="H293" i="1"/>
  <c r="J293" i="1"/>
  <c r="H294" i="1"/>
  <c r="J294" i="1"/>
  <c r="H295" i="1"/>
  <c r="J295" i="1"/>
  <c r="H296" i="1"/>
  <c r="J296" i="1"/>
  <c r="H297" i="1"/>
  <c r="J297" i="1"/>
  <c r="H298" i="1"/>
  <c r="J298" i="1"/>
  <c r="H299" i="1"/>
  <c r="J299" i="1"/>
  <c r="H300" i="1"/>
  <c r="J300" i="1"/>
  <c r="H301" i="1"/>
  <c r="J301" i="1"/>
  <c r="H2" i="1"/>
  <c r="E2" i="1" s="1"/>
  <c r="F2" i="1" s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C22" i="2"/>
  <c r="J26" i="1" l="1"/>
  <c r="E56" i="1"/>
  <c r="F56" i="1" s="1"/>
  <c r="J69" i="1"/>
  <c r="E11" i="1"/>
  <c r="F11" i="1" s="1"/>
  <c r="J67" i="1"/>
  <c r="J57" i="1"/>
  <c r="I69" i="1"/>
  <c r="K69" i="1" s="1"/>
  <c r="J52" i="1"/>
  <c r="J70" i="1"/>
  <c r="J61" i="1"/>
  <c r="J39" i="1"/>
  <c r="I31" i="1"/>
  <c r="K31" i="1" s="1"/>
  <c r="E51" i="1"/>
  <c r="F51" i="1" s="1"/>
  <c r="J44" i="1"/>
  <c r="J43" i="1"/>
  <c r="E67" i="1"/>
  <c r="F67" i="1" s="1"/>
  <c r="I19" i="1"/>
  <c r="K19" i="1" s="1"/>
  <c r="E55" i="1"/>
  <c r="F55" i="1" s="1"/>
  <c r="J36" i="1"/>
  <c r="J51" i="1"/>
  <c r="J50" i="1"/>
  <c r="E28" i="1"/>
  <c r="F28" i="1" s="1"/>
  <c r="I18" i="1"/>
  <c r="K18" i="1" s="1"/>
  <c r="I26" i="1"/>
  <c r="K26" i="1" s="1"/>
  <c r="I57" i="1"/>
  <c r="K57" i="1" s="1"/>
  <c r="I56" i="1"/>
  <c r="K56" i="1" s="1"/>
  <c r="I14" i="1"/>
  <c r="K14" i="1" s="1"/>
  <c r="E12" i="1"/>
  <c r="F12" i="1" s="1"/>
  <c r="J55" i="1"/>
  <c r="J7" i="1"/>
  <c r="J28" i="1"/>
  <c r="I48" i="1"/>
  <c r="K48" i="1" s="1"/>
  <c r="I6" i="1"/>
  <c r="K6" i="1" s="1"/>
  <c r="E24" i="1"/>
  <c r="F24" i="1" s="1"/>
  <c r="E4" i="1"/>
  <c r="F4" i="1" s="1"/>
  <c r="J37" i="1"/>
  <c r="I5" i="1"/>
  <c r="K5" i="1" s="1"/>
  <c r="J53" i="1"/>
  <c r="I32" i="1"/>
  <c r="K32" i="1" s="1"/>
  <c r="I29" i="1"/>
  <c r="K29" i="1" s="1"/>
  <c r="E27" i="1"/>
  <c r="F27" i="1" s="1"/>
  <c r="J27" i="1"/>
  <c r="I62" i="1"/>
  <c r="K62" i="1" s="1"/>
  <c r="I37" i="1"/>
  <c r="K37" i="1" s="1"/>
  <c r="I25" i="1"/>
  <c r="K25" i="1" s="1"/>
  <c r="I13" i="1"/>
  <c r="K13" i="1" s="1"/>
  <c r="J32" i="1"/>
  <c r="J13" i="1"/>
  <c r="I61" i="1"/>
  <c r="K61" i="1" s="1"/>
  <c r="I36" i="1"/>
  <c r="K36" i="1" s="1"/>
  <c r="I11" i="1"/>
  <c r="K11" i="1" s="1"/>
  <c r="I30" i="1"/>
  <c r="K30" i="1" s="1"/>
  <c r="E70" i="1"/>
  <c r="F70" i="1" s="1"/>
  <c r="E9" i="1"/>
  <c r="F9" i="1" s="1"/>
  <c r="I60" i="1"/>
  <c r="K60" i="1" s="1"/>
  <c r="I35" i="1"/>
  <c r="K35" i="1" s="1"/>
  <c r="I23" i="1"/>
  <c r="K23" i="1" s="1"/>
  <c r="I10" i="1"/>
  <c r="K10" i="1" s="1"/>
  <c r="I34" i="1"/>
  <c r="K34" i="1" s="1"/>
  <c r="I22" i="1"/>
  <c r="K22" i="1" s="1"/>
  <c r="J47" i="1"/>
  <c r="J30" i="1"/>
  <c r="I58" i="1"/>
  <c r="K58" i="1" s="1"/>
  <c r="I21" i="1"/>
  <c r="K21" i="1" s="1"/>
  <c r="I8" i="1"/>
  <c r="K8" i="1" s="1"/>
  <c r="I72" i="1"/>
  <c r="K72" i="1" s="1"/>
  <c r="J71" i="1"/>
  <c r="I71" i="1"/>
  <c r="K71" i="1" s="1"/>
  <c r="I68" i="1"/>
  <c r="K68" i="1" s="1"/>
  <c r="I66" i="1"/>
  <c r="K66" i="1" s="1"/>
  <c r="I65" i="1"/>
  <c r="K65" i="1" s="1"/>
  <c r="E65" i="1"/>
  <c r="F65" i="1" s="1"/>
  <c r="I64" i="1"/>
  <c r="K64" i="1" s="1"/>
  <c r="I63" i="1"/>
  <c r="K63" i="1" s="1"/>
  <c r="E63" i="1"/>
  <c r="F63" i="1" s="1"/>
  <c r="J62" i="1"/>
  <c r="I53" i="1"/>
  <c r="K53" i="1" s="1"/>
  <c r="I52" i="1"/>
  <c r="K52" i="1" s="1"/>
  <c r="E50" i="1"/>
  <c r="F50" i="1" s="1"/>
  <c r="I49" i="1"/>
  <c r="K49" i="1" s="1"/>
  <c r="I45" i="1"/>
  <c r="K45" i="1" s="1"/>
  <c r="I44" i="1"/>
  <c r="K44" i="1" s="1"/>
  <c r="I43" i="1"/>
  <c r="K43" i="1" s="1"/>
  <c r="I42" i="1"/>
  <c r="K42" i="1" s="1"/>
  <c r="I41" i="1"/>
  <c r="K41" i="1" s="1"/>
  <c r="I38" i="1"/>
  <c r="K38" i="1" s="1"/>
  <c r="J38" i="1"/>
  <c r="J34" i="1"/>
  <c r="J23" i="1"/>
  <c r="E21" i="1"/>
  <c r="F21" i="1" s="1"/>
  <c r="I12" i="1"/>
  <c r="K12" i="1" s="1"/>
  <c r="E8" i="1"/>
  <c r="F8" i="1" s="1"/>
  <c r="J6" i="1"/>
  <c r="J5" i="1"/>
  <c r="I2" i="1"/>
  <c r="K2" i="1" s="1"/>
  <c r="J72" i="1"/>
  <c r="J66" i="1"/>
  <c r="J60" i="1"/>
  <c r="E59" i="1"/>
  <c r="F59" i="1" s="1"/>
  <c r="J59" i="1"/>
  <c r="J49" i="1"/>
  <c r="J48" i="1"/>
  <c r="E47" i="1"/>
  <c r="F47" i="1" s="1"/>
  <c r="J41" i="1"/>
  <c r="E39" i="1"/>
  <c r="F39" i="1" s="1"/>
  <c r="J35" i="1"/>
  <c r="J31" i="1"/>
  <c r="J25" i="1"/>
  <c r="J24" i="1"/>
  <c r="E22" i="1"/>
  <c r="F22" i="1" s="1"/>
  <c r="J19" i="1"/>
  <c r="J18" i="1"/>
  <c r="E17" i="1"/>
  <c r="F17" i="1" s="1"/>
  <c r="J17" i="1"/>
  <c r="E15" i="1"/>
  <c r="F15" i="1" s="1"/>
  <c r="J15" i="1"/>
  <c r="E14" i="1"/>
  <c r="F14" i="1" s="1"/>
  <c r="J10" i="1"/>
  <c r="J9" i="1"/>
  <c r="E7" i="1"/>
  <c r="F7" i="1" s="1"/>
  <c r="J4" i="1"/>
  <c r="E3" i="1"/>
  <c r="F3" i="1" s="1"/>
  <c r="J3" i="1"/>
  <c r="J2" i="1"/>
  <c r="J16" i="1"/>
  <c r="J29" i="1"/>
  <c r="J20" i="1"/>
  <c r="E20" i="1"/>
  <c r="F20" i="1" s="1"/>
  <c r="E40" i="1"/>
  <c r="F40" i="1" s="1"/>
  <c r="E68" i="1"/>
  <c r="F68" i="1" s="1"/>
  <c r="E54" i="1"/>
  <c r="F54" i="1" s="1"/>
  <c r="J42" i="1"/>
  <c r="J33" i="1"/>
  <c r="E33" i="1"/>
  <c r="F33" i="1" s="1"/>
  <c r="J64" i="1"/>
  <c r="J46" i="1"/>
  <c r="E46" i="1"/>
  <c r="F46" i="1" s="1"/>
  <c r="J54" i="1"/>
  <c r="J45" i="1"/>
  <c r="J40" i="1"/>
  <c r="E16" i="1"/>
  <c r="F16" i="1" s="1"/>
  <c r="J58" i="1"/>
</calcChain>
</file>

<file path=xl/sharedStrings.xml><?xml version="1.0" encoding="utf-8"?>
<sst xmlns="http://schemas.openxmlformats.org/spreadsheetml/2006/main" count="448" uniqueCount="239">
  <si>
    <t>Date</t>
  </si>
  <si>
    <t>VBA Automation</t>
  </si>
  <si>
    <t>Parameters</t>
  </si>
  <si>
    <t>Save as File name</t>
  </si>
  <si>
    <t>Country</t>
  </si>
  <si>
    <t>Year</t>
  </si>
  <si>
    <t>Marketplace</t>
  </si>
  <si>
    <t>Folder to Save Files</t>
  </si>
  <si>
    <t>Last Execution Status</t>
  </si>
  <si>
    <t>Status</t>
  </si>
  <si>
    <t>Success</t>
  </si>
  <si>
    <t>Start Time</t>
  </si>
  <si>
    <t>Time Taken</t>
  </si>
  <si>
    <t>UserName</t>
  </si>
  <si>
    <t>Jerrison Chai</t>
  </si>
  <si>
    <t>Button</t>
  </si>
  <si>
    <t>Time</t>
  </si>
  <si>
    <t>User</t>
  </si>
  <si>
    <t>Remark</t>
  </si>
  <si>
    <t>Start Run</t>
  </si>
  <si>
    <t>Ended Run</t>
  </si>
  <si>
    <t>Transform Data</t>
  </si>
  <si>
    <t>Version 1.00</t>
  </si>
  <si>
    <t xml:space="preserve"> </t>
  </si>
  <si>
    <t>origin country</t>
  </si>
  <si>
    <t>Philippines</t>
  </si>
  <si>
    <t>Indonesia</t>
  </si>
  <si>
    <t>Thailand</t>
  </si>
  <si>
    <t>Vietnam</t>
  </si>
  <si>
    <t>Malaysia</t>
  </si>
  <si>
    <t>Hong Kong</t>
  </si>
  <si>
    <t>Taiwan</t>
  </si>
  <si>
    <t xml:space="preserve">Email to </t>
  </si>
  <si>
    <t>jerrison.shuei@gmail.com</t>
  </si>
  <si>
    <t>jerrisonchai@gmail.com</t>
  </si>
  <si>
    <t xml:space="preserve">email to </t>
  </si>
  <si>
    <t>Original file location</t>
  </si>
  <si>
    <t>C:\Users\Jerrison Chai\Documents\02 DEMO\WorkingFile</t>
  </si>
  <si>
    <t>Abbreviation</t>
  </si>
  <si>
    <t>PH</t>
  </si>
  <si>
    <t>TH</t>
  </si>
  <si>
    <t>ID</t>
  </si>
  <si>
    <t>VN</t>
  </si>
  <si>
    <t>MY</t>
  </si>
  <si>
    <t>HK</t>
  </si>
  <si>
    <t>TW</t>
  </si>
  <si>
    <t>HK2023-07 Zalora Transaction Report (v20240116-1626).xlsx</t>
  </si>
  <si>
    <t>C:\Users\Jerrison Chai\Documents\02 DEMO\WorkingFile\HK2023-07 Zalora Transaction Report (v20240116-1626).xlsx</t>
  </si>
  <si>
    <t>HK2023-08 Zalora Transaction Report (v20240116-1628).xlsx</t>
  </si>
  <si>
    <t>C:\Users\Jerrison Chai\Documents\02 DEMO\WorkingFile\HK2023-08 Zalora Transaction Report (v20240116-1628).xlsx</t>
  </si>
  <si>
    <t>HK2023-09 Zalora Transaction Report (v20240116-1629).xlsx</t>
  </si>
  <si>
    <t>C:\Users\Jerrison Chai\Documents\02 DEMO\WorkingFile\HK2023-09 Zalora Transaction Report (v20240116-1629).xlsx</t>
  </si>
  <si>
    <t>HK2023-10 Zalora Transaction Report (v20240116-1630).xlsx</t>
  </si>
  <si>
    <t>C:\Users\Jerrison Chai\Documents\02 DEMO\WorkingFile\HK2023-10 Zalora Transaction Report (v20240116-1630).xlsx</t>
  </si>
  <si>
    <t>HK2023-11 Zalora Transaction Report (v20240112-1513).xlsx</t>
  </si>
  <si>
    <t>C:\Users\Jerrison Chai\Documents\02 DEMO\WorkingFile\HK2023-11 Zalora Transaction Report (v20240112-1513).xlsx</t>
  </si>
  <si>
    <t>ID2023-07 Lazada Expenses Summary report (v20240116-1615).xlsx</t>
  </si>
  <si>
    <t>C:\Users\Jerrison Chai\Documents\02 DEMO\WorkingFile\ID2023-07 Lazada Expenses Summary report (v20240116-1615).xlsx</t>
  </si>
  <si>
    <t>ID2023-08 Lazada Expenses Summary report (v20240116-1616).xlsx</t>
  </si>
  <si>
    <t>C:\Users\Jerrison Chai\Documents\02 DEMO\WorkingFile\ID2023-08 Lazada Expenses Summary report (v20240116-1616).xlsx</t>
  </si>
  <si>
    <t>ID2023-09 Lazada Expenses Summary report (v20240116-1617).xlsx</t>
  </si>
  <si>
    <t>C:\Users\Jerrison Chai\Documents\02 DEMO\WorkingFile\ID2023-09 Lazada Expenses Summary report (v20240116-1617).xlsx</t>
  </si>
  <si>
    <t>ID2023-09 Zalora Transaction Report (v20240116-1645).xlsx</t>
  </si>
  <si>
    <t>C:\Users\Jerrison Chai\Documents\02 DEMO\WorkingFile\ID2023-09 Zalora Transaction Report (v20240116-1645).xlsx</t>
  </si>
  <si>
    <t>ID2023-10 Zalora Transaction Report (v20240116-1646).xlsx</t>
  </si>
  <si>
    <t>C:\Users\Jerrison Chai\Documents\02 DEMO\WorkingFile\ID2023-10 Zalora Transaction Report (v20240116-1646).xlsx</t>
  </si>
  <si>
    <t>ID2023-11 Zalora Transaction Report (v20240112-1523).xlsx</t>
  </si>
  <si>
    <t>C:\Users\Jerrison Chai\Documents\02 DEMO\WorkingFile\ID2023-11 Zalora Transaction Report (v20240112-1523).xlsx</t>
  </si>
  <si>
    <t>MY2023-07 Lazada Expenses Summary report (v20240116-1139).xlsx</t>
  </si>
  <si>
    <t>C:\Users\Jerrison Chai\Documents\02 DEMO\WorkingFile\MY2023-07 Lazada Expenses Summary report (v20240116-1139).xlsx</t>
  </si>
  <si>
    <t>MY2023-07 Shopee Transaction Report (v20240117-1511).xlsx</t>
  </si>
  <si>
    <t>C:\Users\Jerrison Chai\Documents\02 DEMO\WorkingFile\MY2023-07 Shopee Transaction Report (v20240117-1511).xlsx</t>
  </si>
  <si>
    <t>MY2023-07 Zalora Transaction Report (v20240116-1649).xlsx</t>
  </si>
  <si>
    <t>C:\Users\Jerrison Chai\Documents\02 DEMO\WorkingFile\MY2023-07 Zalora Transaction Report (v20240116-1649).xlsx</t>
  </si>
  <si>
    <t>MY2023-08 Lazada Expenses Summary report (v20240122-1723).xlsx</t>
  </si>
  <si>
    <t>C:\Users\Jerrison Chai\Documents\02 DEMO\WorkingFile\MY2023-08 Lazada Expenses Summary report (v20240122-1723).xlsx</t>
  </si>
  <si>
    <t>MY2023-08 Shopee Transaction Report (v20240117-1512).xlsx</t>
  </si>
  <si>
    <t>C:\Users\Jerrison Chai\Documents\02 DEMO\WorkingFile\MY2023-08 Shopee Transaction Report (v20240117-1512).xlsx</t>
  </si>
  <si>
    <t>MY2023-08 Zalora Transaction Report (v20240116-1650).xlsx</t>
  </si>
  <si>
    <t>C:\Users\Jerrison Chai\Documents\02 DEMO\WorkingFile\MY2023-08 Zalora Transaction Report (v20240116-1650).xlsx</t>
  </si>
  <si>
    <t>MY2023-09 Lazada Expenses Summary report (v20240116-1142).xlsx</t>
  </si>
  <si>
    <t>C:\Users\Jerrison Chai\Documents\02 DEMO\WorkingFile\MY2023-09 Lazada Expenses Summary report (v20240116-1142).xlsx</t>
  </si>
  <si>
    <t>MY2023-09 Shopee Transaction Report (v20240117-1513).xlsx</t>
  </si>
  <si>
    <t>C:\Users\Jerrison Chai\Documents\02 DEMO\WorkingFile\MY2023-09 Shopee Transaction Report (v20240117-1513).xlsx</t>
  </si>
  <si>
    <t>MY2023-09 Zalora Transaction Report (v20240116-1651).xlsx</t>
  </si>
  <si>
    <t>C:\Users\Jerrison Chai\Documents\02 DEMO\WorkingFile\MY2023-09 Zalora Transaction Report (v20240116-1651).xlsx</t>
  </si>
  <si>
    <t>MY2023-10 Lazada Expenses Summary report (v20240116-1145).xlsx</t>
  </si>
  <si>
    <t>C:\Users\Jerrison Chai\Documents\02 DEMO\WorkingFile\MY2023-10 Lazada Expenses Summary report (v20240116-1145).xlsx</t>
  </si>
  <si>
    <t>MY2023-10 Shopee Transaction Report (v20240117-1514).xlsx</t>
  </si>
  <si>
    <t>C:\Users\Jerrison Chai\Documents\02 DEMO\WorkingFile\MY2023-10 Shopee Transaction Report (v20240117-1514).xlsx</t>
  </si>
  <si>
    <t>MY2023-10 Zalora Transaction Report (v20240116-1652).xlsx</t>
  </si>
  <si>
    <t>C:\Users\Jerrison Chai\Documents\02 DEMO\WorkingFile\MY2023-10 Zalora Transaction Report (v20240116-1652).xlsx</t>
  </si>
  <si>
    <t>MY2023-11 Lazada Expenses Summary report (v20240112-0935).xlsx</t>
  </si>
  <si>
    <t>C:\Users\Jerrison Chai\Documents\02 DEMO\WorkingFile\MY2023-11 Lazada Expenses Summary report (v20240112-0935).xlsx</t>
  </si>
  <si>
    <t>MY2023-11 Shopee Transaction Report (v20240112-1440).xlsx</t>
  </si>
  <si>
    <t>C:\Users\Jerrison Chai\Documents\02 DEMO\WorkingFile\MY2023-11 Shopee Transaction Report (v20240112-1440).xlsx</t>
  </si>
  <si>
    <t>MY2023-11 Zalora Transaction Report (v20240112-1530).xlsx</t>
  </si>
  <si>
    <t>C:\Users\Jerrison Chai\Documents\02 DEMO\WorkingFile\MY2023-11 Zalora Transaction Report (v20240112-1530).xlsx</t>
  </si>
  <si>
    <t>PH2023-07 Lazada Expenses Summary report (v20240116-1527).xlsx</t>
  </si>
  <si>
    <t>C:\Users\Jerrison Chai\Documents\02 DEMO\WorkingFile\PH2023-07 Lazada Expenses Summary report (v20240116-1527).xlsx</t>
  </si>
  <si>
    <t>PH2023-07 Shopee Transaction Report (v20240117-1517).xlsx</t>
  </si>
  <si>
    <t>C:\Users\Jerrison Chai\Documents\02 DEMO\WorkingFile\PH2023-07 Shopee Transaction Report (v20240117-1517).xlsx</t>
  </si>
  <si>
    <t>PH2023-08 Lazada Expenses Summary report (v20240116-1528).xlsx</t>
  </si>
  <si>
    <t>C:\Users\Jerrison Chai\Documents\02 DEMO\WorkingFile\PH2023-08 Lazada Expenses Summary report (v20240116-1528).xlsx</t>
  </si>
  <si>
    <t>PH2023-08 Shopee Transaction Report (v20240124-1528).xlsx</t>
  </si>
  <si>
    <t>C:\Users\Jerrison Chai\Documents\02 DEMO\WorkingFile\PH2023-08 Shopee Transaction Report (v20240124-1528).xlsx</t>
  </si>
  <si>
    <t>PH2023-09 Lazada Expenses Summary report (v20240116-1529).xlsx</t>
  </si>
  <si>
    <t>C:\Users\Jerrison Chai\Documents\02 DEMO\WorkingFile\PH2023-09 Lazada Expenses Summary report (v20240116-1529).xlsx</t>
  </si>
  <si>
    <t>PH2023-09 Shopee Transaction Report (v20240117-1519).xlsx</t>
  </si>
  <si>
    <t>C:\Users\Jerrison Chai\Documents\02 DEMO\WorkingFile\PH2023-09 Shopee Transaction Report (v20240117-1519).xlsx</t>
  </si>
  <si>
    <t>PH2023-10 Lazada Expenses Summary report (v20240116-1531).xlsx</t>
  </si>
  <si>
    <t>C:\Users\Jerrison Chai\Documents\02 DEMO\WorkingFile\PH2023-10 Lazada Expenses Summary report (v20240116-1531).xlsx</t>
  </si>
  <si>
    <t>PH2023-10 Shopee Transaction Report (v20240117-1520).xlsx</t>
  </si>
  <si>
    <t>C:\Users\Jerrison Chai\Documents\02 DEMO\WorkingFile\PH2023-10 Shopee Transaction Report (v20240117-1520).xlsx</t>
  </si>
  <si>
    <t>PH2023-11 Lazada Expenses Summary report (v20240112-1204).xlsx</t>
  </si>
  <si>
    <t>C:\Users\Jerrison Chai\Documents\02 DEMO\WorkingFile\PH2023-11 Lazada Expenses Summary report (v20240112-1204).xlsx</t>
  </si>
  <si>
    <t>PH2023-11 Shopee Transaction Report (v20240112-1448).xlsx</t>
  </si>
  <si>
    <t>C:\Users\Jerrison Chai\Documents\02 DEMO\WorkingFile\PH2023-11 Shopee Transaction Report (v20240112-1448).xlsx</t>
  </si>
  <si>
    <t>PH2023-11 Zalora Transaction Report (v20240112-1534).xlsx</t>
  </si>
  <si>
    <t>C:\Users\Jerrison Chai\Documents\02 DEMO\WorkingFile\PH2023-11 Zalora Transaction Report (v20240112-1534).xlsx</t>
  </si>
  <si>
    <t>SG2023-07 Lazada Expenses Summary report (v20240116-1549).xlsx</t>
  </si>
  <si>
    <t>C:\Users\Jerrison Chai\Documents\02 DEMO\WorkingFile\SG2023-07 Lazada Expenses Summary report (v20240116-1549).xlsx</t>
  </si>
  <si>
    <t>SG2023-07 Shopee Transaction Report (v20240117-1526).xlsx</t>
  </si>
  <si>
    <t>C:\Users\Jerrison Chai\Documents\02 DEMO\WorkingFile\SG2023-07 Shopee Transaction Report (v20240117-1526).xlsx</t>
  </si>
  <si>
    <t>SG2023-07 Zalora Transaction Report (v20240116-1659).xlsx</t>
  </si>
  <si>
    <t>C:\Users\Jerrison Chai\Documents\02 DEMO\WorkingFile\SG2023-07 Zalora Transaction Report (v20240116-1659).xlsx</t>
  </si>
  <si>
    <t>SG2023-08 Lazada Expenses Summary report (v20240116-1551).xlsx</t>
  </si>
  <si>
    <t>C:\Users\Jerrison Chai\Documents\02 DEMO\WorkingFile\SG2023-08 Lazada Expenses Summary report (v20240116-1551).xlsx</t>
  </si>
  <si>
    <t>SG2023-08 Shopee Transaction Report (v20240117-1528).xlsx</t>
  </si>
  <si>
    <t>C:\Users\Jerrison Chai\Documents\02 DEMO\WorkingFile\SG2023-08 Shopee Transaction Report (v20240117-1528).xlsx</t>
  </si>
  <si>
    <t>SG2023-08 Zalora Transaction Report (v20240116-1707).xlsx</t>
  </si>
  <si>
    <t>C:\Users\Jerrison Chai\Documents\02 DEMO\WorkingFile\SG2023-08 Zalora Transaction Report (v20240116-1707).xlsx</t>
  </si>
  <si>
    <t>SG2023-09 Lazada Expenses Summary report (v20240116-1553).xlsx</t>
  </si>
  <si>
    <t>C:\Users\Jerrison Chai\Documents\02 DEMO\WorkingFile\SG2023-09 Lazada Expenses Summary report (v20240116-1553).xlsx</t>
  </si>
  <si>
    <t>SG2023-09 Shopee Transaction Report (v20240117-1529).xlsx</t>
  </si>
  <si>
    <t>C:\Users\Jerrison Chai\Documents\02 DEMO\WorkingFile\SG2023-09 Shopee Transaction Report (v20240117-1529).xlsx</t>
  </si>
  <si>
    <t>SG2023-09 Zalora Transaction Report (v20240116-1708).xlsx</t>
  </si>
  <si>
    <t>C:\Users\Jerrison Chai\Documents\02 DEMO\WorkingFile\SG2023-09 Zalora Transaction Report (v20240116-1708).xlsx</t>
  </si>
  <si>
    <t>SG2023-10 Lazada Expenses Summary report (v20240116-1557).xlsx</t>
  </si>
  <si>
    <t>C:\Users\Jerrison Chai\Documents\02 DEMO\WorkingFile\SG2023-10 Lazada Expenses Summary report (v20240116-1557).xlsx</t>
  </si>
  <si>
    <t>SG2023-10 Shopee Transaction Report (v20240117-1530).xlsx</t>
  </si>
  <si>
    <t>C:\Users\Jerrison Chai\Documents\02 DEMO\WorkingFile\SG2023-10 Shopee Transaction Report (v20240117-1530).xlsx</t>
  </si>
  <si>
    <t>SG2023-10 Zalora Transaction Report (v20240116-1709).xlsx</t>
  </si>
  <si>
    <t>C:\Users\Jerrison Chai\Documents\02 DEMO\WorkingFile\SG2023-10 Zalora Transaction Report (v20240116-1709).xlsx</t>
  </si>
  <si>
    <t>SG2023-11 Lazada Expenses Summary report (v20240112-1220).xlsx</t>
  </si>
  <si>
    <t>C:\Users\Jerrison Chai\Documents\02 DEMO\WorkingFile\SG2023-11 Lazada Expenses Summary report (v20240112-1220).xlsx</t>
  </si>
  <si>
    <t>SG2023-11 Shopee Transaction Report (v20240112-1452).xlsx</t>
  </si>
  <si>
    <t>C:\Users\Jerrison Chai\Documents\02 DEMO\WorkingFile\SG2023-11 Shopee Transaction Report (v20240112-1452).xlsx</t>
  </si>
  <si>
    <t>SG2023-11 Zalora Transaction Report (v20240112-1536).xlsx</t>
  </si>
  <si>
    <t>C:\Users\Jerrison Chai\Documents\02 DEMO\WorkingFile\SG2023-11 Zalora Transaction Report (v20240112-1536).xlsx</t>
  </si>
  <si>
    <t>TH2023-07 Shopee Transaction Report (v20240117-1535).xlsx</t>
  </si>
  <si>
    <t>C:\Users\Jerrison Chai\Documents\02 DEMO\WorkingFile\TH2023-07 Shopee Transaction Report (v20240117-1535).xlsx</t>
  </si>
  <si>
    <t>TH2023-08 Shopee Transaction Report (v20240117-1536).xlsx</t>
  </si>
  <si>
    <t>C:\Users\Jerrison Chai\Documents\02 DEMO\WorkingFile\TH2023-08 Shopee Transaction Report (v20240117-1536).xlsx</t>
  </si>
  <si>
    <t>TH2023-09 Shopee Transaction Report (v20240117-1537).xlsx</t>
  </si>
  <si>
    <t>C:\Users\Jerrison Chai\Documents\02 DEMO\WorkingFile\TH2023-09 Shopee Transaction Report (v20240117-1537).xlsx</t>
  </si>
  <si>
    <t>TH2023-10 Shopee Transaction Report (v20240117-1538).xlsx</t>
  </si>
  <si>
    <t>C:\Users\Jerrison Chai\Documents\02 DEMO\WorkingFile\TH2023-10 Shopee Transaction Report (v20240117-1538).xlsx</t>
  </si>
  <si>
    <t>TH2023-11 Shopee Transaction Report (v20240112-1455).xlsx</t>
  </si>
  <si>
    <t>C:\Users\Jerrison Chai\Documents\02 DEMO\WorkingFile\TH2023-11 Shopee Transaction Report (v20240112-1455).xlsx</t>
  </si>
  <si>
    <t>TW2023-07 Shopee Transaction Report (v20240117-1540).xlsx</t>
  </si>
  <si>
    <t>C:\Users\Jerrison Chai\Documents\02 DEMO\WorkingFile\TW2023-07 Shopee Transaction Report (v20240117-1540).xlsx</t>
  </si>
  <si>
    <t>TW2023-07 Zalora Transaction Report (v20240116-1712).xlsx</t>
  </si>
  <si>
    <t>C:\Users\Jerrison Chai\Documents\02 DEMO\WorkingFile\TW2023-07 Zalora Transaction Report (v20240116-1712).xlsx</t>
  </si>
  <si>
    <t>TW2023-08 Shopee Transaction Report (v20240117-1541).xlsx</t>
  </si>
  <si>
    <t>C:\Users\Jerrison Chai\Documents\02 DEMO\WorkingFile\TW2023-08 Shopee Transaction Report (v20240117-1541).xlsx</t>
  </si>
  <si>
    <t>TW2023-08 Zalora Transaction Report (v20240116-1713).xlsx</t>
  </si>
  <si>
    <t>C:\Users\Jerrison Chai\Documents\02 DEMO\WorkingFile\TW2023-08 Zalora Transaction Report (v20240116-1713).xlsx</t>
  </si>
  <si>
    <t>TW2023-09 Shopee Transaction Report (v20240117-1542).xlsx</t>
  </si>
  <si>
    <t>C:\Users\Jerrison Chai\Documents\02 DEMO\WorkingFile\TW2023-09 Shopee Transaction Report (v20240117-1542).xlsx</t>
  </si>
  <si>
    <t>TW2023-09 Zalora Transaction Report (v20240116-1714).xlsx</t>
  </si>
  <si>
    <t>C:\Users\Jerrison Chai\Documents\02 DEMO\WorkingFile\TW2023-09 Zalora Transaction Report (v20240116-1714).xlsx</t>
  </si>
  <si>
    <t>TW2023-10 Shopee Transaction Report (v20240117-1543).xlsx</t>
  </si>
  <si>
    <t>C:\Users\Jerrison Chai\Documents\02 DEMO\WorkingFile\TW2023-10 Shopee Transaction Report (v20240117-1543).xlsx</t>
  </si>
  <si>
    <t>TW2023-10 Zalora Transaction Report (v20240116-1715).xlsx</t>
  </si>
  <si>
    <t>C:\Users\Jerrison Chai\Documents\02 DEMO\WorkingFile\TW2023-10 Zalora Transaction Report (v20240116-1715).xlsx</t>
  </si>
  <si>
    <t>TW2023-11 Shopee Transaction Report (v20240112-1503).xlsx</t>
  </si>
  <si>
    <t>C:\Users\Jerrison Chai\Documents\02 DEMO\WorkingFile\TW2023-11 Shopee Transaction Report (v20240112-1503).xlsx</t>
  </si>
  <si>
    <t>TW2023-11 Zalora Transaction Report (v20240112-1544).xlsx</t>
  </si>
  <si>
    <t>C:\Users\Jerrison Chai\Documents\02 DEMO\WorkingFile\TW2023-11 Zalora Transaction Report (v20240112-1544).xlsx</t>
  </si>
  <si>
    <t>VN2023-08 Shopee Transaction Report (v20240117-1547).xlsx</t>
  </si>
  <si>
    <t>C:\Users\Jerrison Chai\Documents\02 DEMO\WorkingFile\VN2023-08 Shopee Transaction Report (v20240117-1547).xlsx</t>
  </si>
  <si>
    <t>VN2023-09 Shopee Transaction Report (v20240117-1548).xlsx</t>
  </si>
  <si>
    <t>C:\Users\Jerrison Chai\Documents\02 DEMO\WorkingFile\VN2023-09 Shopee Transaction Report (v20240117-1548).xlsx</t>
  </si>
  <si>
    <t>VN2023-10 Shopee Transaction Report (v20240117-1550).xlsx</t>
  </si>
  <si>
    <t>C:\Users\Jerrison Chai\Documents\02 DEMO\WorkingFile\VN2023-10 Shopee Transaction Report (v20240117-1550).xlsx</t>
  </si>
  <si>
    <t>VN2023-11 Shopee Transaction Report (v20240112-1506).xlsx</t>
  </si>
  <si>
    <t>C:\Users\Jerrison Chai\Documents\02 DEMO\WorkingFile\VN2023-11 Shopee Transaction Report (v20240112-1506).xlsx</t>
  </si>
  <si>
    <t>File Name</t>
  </si>
  <si>
    <t>Last modified</t>
  </si>
  <si>
    <t>file path</t>
  </si>
  <si>
    <t>folder</t>
  </si>
  <si>
    <t>Create FOLDERS, email, and move to DONE</t>
  </si>
  <si>
    <t>Total files + 2</t>
  </si>
  <si>
    <t>New Subfolder</t>
  </si>
  <si>
    <t>New filde path</t>
  </si>
  <si>
    <t>Singapore</t>
  </si>
  <si>
    <t>SG</t>
  </si>
  <si>
    <t>Total folders + 2</t>
  </si>
  <si>
    <t>Subject</t>
  </si>
  <si>
    <t>Body</t>
  </si>
  <si>
    <t>Hi, kindly refer to the attached. Thanks</t>
  </si>
  <si>
    <t>Date and time</t>
  </si>
  <si>
    <t>Final file location</t>
  </si>
  <si>
    <t>C:\Users\Jerrison Chai\Documents\02 DEMO\DONE</t>
  </si>
  <si>
    <t>Move Files</t>
  </si>
  <si>
    <t>ReverseMove</t>
  </si>
  <si>
    <t>Send Email</t>
  </si>
  <si>
    <t>C:\Users\Jerrison Chai\Documents\02 DEMO\WorkingFile\HK</t>
  </si>
  <si>
    <t>C:\Users\Jerrison Chai\Documents\02 DEMO\WorkingFile\HK\HK2023-07 Zalora Transaction Report (v20240116-1626).xlsx</t>
  </si>
  <si>
    <t>C:\Users\Jerrison Chai\Documents\02 DEMO\WorkingFile\ID</t>
  </si>
  <si>
    <t>C:\Users\Jerrison Chai\Documents\02 DEMO\WorkingFile\ID\ID2023-07 Lazada Expenses Summary report (v20240116-1615).xlsx</t>
  </si>
  <si>
    <t>C:\Users\Jerrison Chai\Documents\02 DEMO\WorkingFile\MY</t>
  </si>
  <si>
    <t>C:\Users\Jerrison Chai\Documents\02 DEMO\WorkingFile\MY\MY2023-07 Lazada Expenses Summary report (v20240116-1139).xlsx</t>
  </si>
  <si>
    <t>C:\Users\Jerrison Chai\Documents\02 DEMO\WorkingFile\PH</t>
  </si>
  <si>
    <t>C:\Users\Jerrison Chai\Documents\02 DEMO\WorkingFile\PH\PH2023-07 Lazada Expenses Summary report (v20240116-1527).xlsx</t>
  </si>
  <si>
    <t>C:\Users\Jerrison Chai\Documents\02 DEMO\WorkingFile\SG</t>
  </si>
  <si>
    <t>C:\Users\Jerrison Chai\Documents\02 DEMO\WorkingFile\SG\SG2023-07 Lazada Expenses Summary report (v20240116-1549).xlsx</t>
  </si>
  <si>
    <t>C:\Users\Jerrison Chai\Documents\02 DEMO\WorkingFile\TH</t>
  </si>
  <si>
    <t>C:\Users\Jerrison Chai\Documents\02 DEMO\WorkingFile\TH\TH2023-07 Shopee Transaction Report (v20240117-1535).xlsx</t>
  </si>
  <si>
    <t>C:\Users\Jerrison Chai\Documents\02 DEMO\WorkingFile\TW</t>
  </si>
  <si>
    <t>C:\Users\Jerrison Chai\Documents\02 DEMO\WorkingFile\TW\TW2023-07 Shopee Transaction Report (v20240117-1540).xlsx</t>
  </si>
  <si>
    <t>C:\Users\Jerrison Chai\Documents\02 DEMO\WorkingFile\VN</t>
  </si>
  <si>
    <t>C:\Users\Jerrison Chai\Documents\02 DEMO\WorkingFile\VN\VN2023-08 Shopee Transaction Report (v20240117-1547).xlsx</t>
  </si>
  <si>
    <t/>
  </si>
  <si>
    <t>00 NOT FOUND</t>
  </si>
  <si>
    <t>Hong Kong Summary Reports - 2024-02-16-1258</t>
  </si>
  <si>
    <t>Indonesia Summary Reports - 2024-02-16-1258</t>
  </si>
  <si>
    <t>Malaysia Summary Reports - 2024-02-16-1258</t>
  </si>
  <si>
    <t>Philippines Summary Reports - 2024-02-16-1258</t>
  </si>
  <si>
    <t>Singapore Summary Reports - 2024-02-16-1258</t>
  </si>
  <si>
    <t>Thailand Summary Reports - 2024-02-16-1258</t>
  </si>
  <si>
    <t>Taiwan Summary Reports - 2024-02-16-1258</t>
  </si>
  <si>
    <t>Vietnam Summary Reports - 2024-02-16-1258</t>
  </si>
  <si>
    <t>Action Taken</t>
  </si>
  <si>
    <t>Run Macro Started</t>
  </si>
  <si>
    <t>Create FOLDERS email and move to done v1.10T.xlsm</t>
  </si>
  <si>
    <t>Run Macro Ended</t>
  </si>
  <si>
    <t>Admin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</si>
</sst>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dd/mm/yyyy\ h:mm:ss"/>
    <numFmt numFmtId="166" formatCode="[$-F400]h:mm:ss\ AM/PM"/>
  </numFmts>
  <fonts count="9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64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theme="0" tint="-0.34998626667073579"/>
      </left>
      <right/>
      <top style="medium">
        <color theme="0" tint="-0.34998626667073579"/>
      </top>
      <bottom/>
      <diagonal/>
    </border>
    <border>
      <left style="medium">
        <color theme="0" tint="-0.24994659260841701"/>
      </left>
      <right/>
      <top style="medium">
        <color theme="0" tint="-0.24994659260841701"/>
      </top>
      <bottom/>
      <diagonal/>
    </border>
    <border>
      <left/>
      <right/>
      <top style="medium">
        <color theme="0" tint="-0.24994659260841701"/>
      </top>
      <bottom/>
      <diagonal/>
    </border>
  </borders>
  <cellStyleXfs count="3">
    <xf numFmtId="0" fontId="0" fillId="0" borderId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</cellStyleXfs>
  <cellXfs count="62">
    <xf numFmtId="0" fontId="0" fillId="0" borderId="0" xfId="0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left" vertical="center" indent="1"/>
    </xf>
    <xf numFmtId="0" fontId="0" fillId="3" borderId="0" xfId="0" applyFill="1" applyAlignment="1">
      <alignment vertical="center"/>
    </xf>
    <xf numFmtId="0" fontId="3" fillId="3" borderId="1" xfId="0" applyFont="1" applyFill="1" applyBorder="1" applyAlignment="1">
      <alignment horizontal="left" vertical="center" indent="1"/>
    </xf>
    <xf numFmtId="0" fontId="0" fillId="3" borderId="2" xfId="0" applyFill="1" applyBorder="1" applyAlignment="1">
      <alignment vertical="center"/>
    </xf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 applyAlignment="1">
      <alignment horizontal="left" vertical="center" indent="1"/>
    </xf>
    <xf numFmtId="0" fontId="0" fillId="3" borderId="5" xfId="0" applyFill="1" applyBorder="1"/>
    <xf numFmtId="0" fontId="4" fillId="3" borderId="6" xfId="0" applyFont="1" applyFill="1" applyBorder="1" applyAlignment="1">
      <alignment horizontal="left" vertical="center" indent="1"/>
    </xf>
    <xf numFmtId="0" fontId="0" fillId="3" borderId="7" xfId="0" applyFill="1" applyBorder="1" applyAlignment="1">
      <alignment vertical="center"/>
    </xf>
    <xf numFmtId="0" fontId="0" fillId="3" borderId="7" xfId="0" applyFill="1" applyBorder="1"/>
    <xf numFmtId="0" fontId="0" fillId="3" borderId="8" xfId="0" applyFill="1" applyBorder="1"/>
    <xf numFmtId="0" fontId="2" fillId="3" borderId="4" xfId="0" applyFont="1" applyFill="1" applyBorder="1" applyAlignment="1">
      <alignment horizontal="left" vertical="center" indent="1"/>
    </xf>
    <xf numFmtId="14" fontId="0" fillId="4" borderId="9" xfId="0" applyNumberFormat="1" applyFill="1" applyBorder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0" fillId="4" borderId="9" xfId="0" applyFill="1" applyBorder="1" applyAlignment="1">
      <alignment vertical="center"/>
    </xf>
    <xf numFmtId="0" fontId="0" fillId="5" borderId="9" xfId="0" applyFill="1" applyBorder="1" applyAlignment="1">
      <alignment vertical="center"/>
    </xf>
    <xf numFmtId="0" fontId="0" fillId="3" borderId="5" xfId="0" applyFill="1" applyBorder="1" applyAlignment="1">
      <alignment vertical="center"/>
    </xf>
    <xf numFmtId="0" fontId="5" fillId="3" borderId="0" xfId="0" applyFont="1" applyFill="1" applyAlignment="1">
      <alignment vertical="center"/>
    </xf>
    <xf numFmtId="0" fontId="0" fillId="4" borderId="9" xfId="0" applyFill="1" applyBorder="1" applyAlignment="1">
      <alignment horizontal="left" vertical="center"/>
    </xf>
    <xf numFmtId="22" fontId="0" fillId="4" borderId="9" xfId="0" applyNumberFormat="1" applyFill="1" applyBorder="1" applyAlignment="1">
      <alignment horizontal="left" vertical="center"/>
    </xf>
    <xf numFmtId="21" fontId="0" fillId="4" borderId="9" xfId="0" applyNumberFormat="1" applyFill="1" applyBorder="1" applyAlignment="1">
      <alignment horizontal="left" vertical="center"/>
    </xf>
    <xf numFmtId="0" fontId="0" fillId="3" borderId="6" xfId="0" applyFill="1" applyBorder="1" applyAlignment="1">
      <alignment horizontal="left" vertical="center" indent="1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/>
    </xf>
    <xf numFmtId="0" fontId="6" fillId="3" borderId="0" xfId="0" applyFont="1" applyFill="1" applyAlignment="1">
      <alignment vertical="center"/>
    </xf>
    <xf numFmtId="0" fontId="2" fillId="3" borderId="4" xfId="0" applyFont="1" applyFill="1" applyBorder="1" applyAlignment="1">
      <alignment horizontal="left" vertical="center" wrapText="1" indent="1"/>
    </xf>
    <xf numFmtId="0" fontId="2" fillId="4" borderId="0" xfId="0" applyFont="1" applyFill="1"/>
    <xf numFmtId="165" fontId="2" fillId="4" borderId="0" xfId="0" applyNumberFormat="1" applyFont="1" applyFill="1"/>
    <xf numFmtId="165" fontId="0" fillId="0" borderId="0" xfId="0" applyNumberFormat="1"/>
    <xf numFmtId="164" fontId="0" fillId="5" borderId="9" xfId="0" applyNumberFormat="1" applyFill="1" applyBorder="1" applyAlignment="1">
      <alignment horizontal="left" vertical="center"/>
    </xf>
    <xf numFmtId="0" fontId="7" fillId="3" borderId="0" xfId="0" applyFont="1" applyFill="1" applyAlignment="1">
      <alignment vertical="center"/>
    </xf>
    <xf numFmtId="0" fontId="7" fillId="3" borderId="0" xfId="0" applyFont="1" applyFill="1"/>
    <xf numFmtId="0" fontId="7" fillId="3" borderId="2" xfId="0" applyFont="1" applyFill="1" applyBorder="1" applyAlignment="1">
      <alignment vertical="center"/>
    </xf>
    <xf numFmtId="0" fontId="7" fillId="3" borderId="2" xfId="0" applyFont="1" applyFill="1" applyBorder="1"/>
    <xf numFmtId="0" fontId="7" fillId="3" borderId="3" xfId="0" applyFont="1" applyFill="1" applyBorder="1"/>
    <xf numFmtId="0" fontId="7" fillId="3" borderId="5" xfId="0" applyFont="1" applyFill="1" applyBorder="1"/>
    <xf numFmtId="0" fontId="7" fillId="3" borderId="7" xfId="0" applyFont="1" applyFill="1" applyBorder="1" applyAlignment="1">
      <alignment vertical="center"/>
    </xf>
    <xf numFmtId="0" fontId="7" fillId="3" borderId="7" xfId="0" applyFont="1" applyFill="1" applyBorder="1"/>
    <xf numFmtId="0" fontId="7" fillId="3" borderId="8" xfId="0" applyFont="1" applyFill="1" applyBorder="1"/>
    <xf numFmtId="0" fontId="7" fillId="3" borderId="0" xfId="0" applyFont="1" applyFill="1" applyAlignment="1">
      <alignment horizontal="left" vertical="center"/>
    </xf>
    <xf numFmtId="0" fontId="7" fillId="4" borderId="9" xfId="0" applyFont="1" applyFill="1" applyBorder="1" applyAlignment="1">
      <alignment vertical="center"/>
    </xf>
    <xf numFmtId="14" fontId="0" fillId="0" borderId="0" xfId="0" applyNumberFormat="1" applyAlignment="1">
      <alignment horizontal="left"/>
    </xf>
    <xf numFmtId="166" fontId="0" fillId="0" borderId="0" xfId="0" applyNumberFormat="1" applyAlignment="1">
      <alignment horizontal="center"/>
    </xf>
    <xf numFmtId="9" fontId="0" fillId="0" borderId="0" xfId="2" applyFont="1"/>
    <xf numFmtId="164" fontId="0" fillId="0" borderId="0" xfId="1" applyFont="1" applyAlignment="1">
      <alignment horizontal="right"/>
    </xf>
    <xf numFmtId="9" fontId="1" fillId="4" borderId="0" xfId="2" applyFont="1" applyFill="1" applyAlignment="1">
      <alignment horizontal="center"/>
    </xf>
    <xf numFmtId="14" fontId="7" fillId="5" borderId="0" xfId="0" applyNumberFormat="1" applyFont="1" applyFill="1" applyAlignment="1">
      <alignment horizontal="left"/>
    </xf>
    <xf numFmtId="166" fontId="7" fillId="5" borderId="0" xfId="0" applyNumberFormat="1" applyFont="1" applyFill="1" applyAlignment="1">
      <alignment horizontal="center"/>
    </xf>
    <xf numFmtId="0" fontId="7" fillId="5" borderId="0" xfId="0" applyFont="1" applyFill="1" applyAlignment="1">
      <alignment horizontal="center"/>
    </xf>
    <xf numFmtId="22" fontId="0" fillId="0" borderId="0" xfId="0" applyNumberFormat="1"/>
    <xf numFmtId="0" fontId="7" fillId="6" borderId="0" xfId="0" applyFont="1" applyFill="1" applyAlignment="1">
      <alignment horizontal="right"/>
    </xf>
    <xf numFmtId="0" fontId="0" fillId="0" borderId="0" xfId="0" applyAlignment="1">
      <alignment horizontal="right"/>
    </xf>
    <xf numFmtId="0" fontId="0" fillId="4" borderId="10" xfId="0" applyFill="1" applyBorder="1" applyAlignment="1">
      <alignment horizontal="left" vertical="center"/>
    </xf>
    <xf numFmtId="0" fontId="0" fillId="4" borderId="11" xfId="0" applyFill="1" applyBorder="1" applyAlignment="1">
      <alignment horizontal="left" vertical="center"/>
    </xf>
    <xf numFmtId="0" fontId="0" fillId="5" borderId="10" xfId="0" applyFill="1" applyBorder="1" applyAlignment="1">
      <alignment horizontal="left" vertical="center"/>
    </xf>
    <xf numFmtId="0" fontId="0" fillId="5" borderId="11" xfId="0" applyFill="1" applyBorder="1" applyAlignment="1">
      <alignment horizontal="left" vertical="center"/>
    </xf>
    <xf numFmtId="14" fontId="0" fillId="4" borderId="10" xfId="0" applyNumberFormat="1" applyFill="1" applyBorder="1" applyAlignment="1">
      <alignment horizontal="left" vertic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295276</xdr:colOff>
      <xdr:row>24</xdr:row>
      <xdr:rowOff>95250</xdr:rowOff>
    </xdr:from>
    <xdr:to>
      <xdr:col>2</xdr:col>
      <xdr:colOff>1590676</xdr:colOff>
      <xdr:row>25</xdr:row>
      <xdr:rowOff>171450</xdr:rowOff>
    </xdr:to>
    <xdr:sp macro="[0]!LoopThroughFiles" textlink="">
      <xdr:nvSpPr>
        <xdr:cNvPr id="3" name="Read Folder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667001" y="3343275"/>
          <a:ext cx="1295400" cy="466725"/>
        </a:xfrm>
        <a:prstGeom prst="roundRect">
          <a:avLst/>
        </a:prstGeom>
        <a:solidFill>
          <a:srgbClr val="0000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1050" b="1" baseline="0">
              <a:solidFill>
                <a:srgbClr val="FFFFFF"/>
              </a:solidFill>
            </a:rPr>
            <a:t>Read folder</a:t>
          </a:r>
          <a:endParaRPr lang="en-MY" sz="1050" b="1">
            <a:solidFill>
              <a:srgbClr val="FFFFFF"/>
            </a:solidFill>
          </a:endParaRPr>
        </a:p>
      </xdr:txBody>
    </xdr:sp>
    <xdr:clientData/>
  </xdr:twoCellAnchor>
  <xdr:twoCellAnchor editAs="oneCell">
    <xdr:from>
      <xdr:col>7</xdr:col>
      <xdr:colOff>43191</xdr:colOff>
      <xdr:row>20</xdr:row>
      <xdr:rowOff>60763</xdr:rowOff>
    </xdr:from>
    <xdr:to>
      <xdr:col>7</xdr:col>
      <xdr:colOff>43191</xdr:colOff>
      <xdr:row>21</xdr:row>
      <xdr:rowOff>0</xdr:rowOff>
    </xdr:to>
    <xdr:sp macro="" textlink="">
      <xdr:nvSpPr>
        <xdr:cNvPr id="6" name="Get Shipping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0939791" y="3432613"/>
          <a:ext cx="247650" cy="268671"/>
        </a:xfrm>
        <a:prstGeom prst="rightArrow">
          <a:avLst/>
        </a:prstGeom>
        <a:solidFill>
          <a:srgbClr val="0000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MY" sz="1100">
            <a:solidFill>
              <a:srgbClr val="FFFFFF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7</xdr:col>
      <xdr:colOff>47991</xdr:colOff>
      <xdr:row>19</xdr:row>
      <xdr:rowOff>19782</xdr:rowOff>
    </xdr:from>
    <xdr:to>
      <xdr:col>7</xdr:col>
      <xdr:colOff>47991</xdr:colOff>
      <xdr:row>20</xdr:row>
      <xdr:rowOff>269631</xdr:rowOff>
    </xdr:to>
    <xdr:sp macro="" textlink="">
      <xdr:nvSpPr>
        <xdr:cNvPr id="7" name="Get SAP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0944591" y="3048732"/>
          <a:ext cx="247650" cy="269631"/>
        </a:xfrm>
        <a:prstGeom prst="rightArrow">
          <a:avLst/>
        </a:prstGeom>
        <a:solidFill>
          <a:srgbClr val="0000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MY" sz="1100">
            <a:solidFill>
              <a:srgbClr val="FFFFFF"/>
            </a:solidFill>
          </a:endParaRPr>
        </a:p>
      </xdr:txBody>
    </xdr:sp>
    <xdr:clientData/>
  </xdr:twoCellAnchor>
  <xdr:twoCellAnchor>
    <xdr:from>
      <xdr:col>2</xdr:col>
      <xdr:colOff>1857376</xdr:colOff>
      <xdr:row>24</xdr:row>
      <xdr:rowOff>95250</xdr:rowOff>
    </xdr:from>
    <xdr:to>
      <xdr:col>3</xdr:col>
      <xdr:colOff>285751</xdr:colOff>
      <xdr:row>25</xdr:row>
      <xdr:rowOff>171450</xdr:rowOff>
    </xdr:to>
    <xdr:sp macro="[0]!CreateSubFolder" textlink="">
      <xdr:nvSpPr>
        <xdr:cNvPr id="5" name="Move Files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229101" y="3343275"/>
          <a:ext cx="1295400" cy="466725"/>
        </a:xfrm>
        <a:prstGeom prst="roundRect">
          <a:avLst/>
        </a:prstGeom>
        <a:solidFill>
          <a:srgbClr val="0000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1050" b="1" baseline="0">
              <a:solidFill>
                <a:srgbClr val="FFFFFF"/>
              </a:solidFill>
            </a:rPr>
            <a:t>Move to Folder</a:t>
          </a:r>
          <a:endParaRPr lang="en-MY" sz="1050" b="1">
            <a:solidFill>
              <a:srgbClr val="FFFFFF"/>
            </a:solidFill>
          </a:endParaRPr>
        </a:p>
      </xdr:txBody>
    </xdr:sp>
    <xdr:clientData/>
  </xdr:twoCellAnchor>
  <xdr:twoCellAnchor>
    <xdr:from>
      <xdr:col>3</xdr:col>
      <xdr:colOff>571501</xdr:colOff>
      <xdr:row>24</xdr:row>
      <xdr:rowOff>114300</xdr:rowOff>
    </xdr:from>
    <xdr:to>
      <xdr:col>5</xdr:col>
      <xdr:colOff>28576</xdr:colOff>
      <xdr:row>26</xdr:row>
      <xdr:rowOff>0</xdr:rowOff>
    </xdr:to>
    <xdr:sp macro="[0]!FSOReverseMoveFile" textlink="">
      <xdr:nvSpPr>
        <xdr:cNvPr id="8" name="ReverseMove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810251" y="3362325"/>
          <a:ext cx="1295400" cy="466725"/>
        </a:xfrm>
        <a:prstGeom prst="roundRect">
          <a:avLst/>
        </a:prstGeom>
        <a:solidFill>
          <a:srgbClr val="0000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1050" b="1" baseline="0">
              <a:solidFill>
                <a:srgbClr val="FFFFFF"/>
              </a:solidFill>
            </a:rPr>
            <a:t>Reverse Move files</a:t>
          </a:r>
          <a:endParaRPr lang="en-MY" sz="1050" b="1">
            <a:solidFill>
              <a:srgbClr val="FFFFFF"/>
            </a:solidFill>
          </a:endParaRPr>
        </a:p>
      </xdr:txBody>
    </xdr:sp>
    <xdr:clientData/>
  </xdr:twoCellAnchor>
  <xdr:twoCellAnchor>
    <xdr:from>
      <xdr:col>5</xdr:col>
      <xdr:colOff>266701</xdr:colOff>
      <xdr:row>24</xdr:row>
      <xdr:rowOff>133350</xdr:rowOff>
    </xdr:from>
    <xdr:to>
      <xdr:col>6</xdr:col>
      <xdr:colOff>952501</xdr:colOff>
      <xdr:row>26</xdr:row>
      <xdr:rowOff>19050</xdr:rowOff>
    </xdr:to>
    <xdr:sp macro="[0]!SendtoEmail" textlink="">
      <xdr:nvSpPr>
        <xdr:cNvPr id="9" name="Send Email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7343776" y="3381375"/>
          <a:ext cx="1295400" cy="466725"/>
        </a:xfrm>
        <a:prstGeom prst="roundRect">
          <a:avLst/>
        </a:prstGeom>
        <a:solidFill>
          <a:srgbClr val="0000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1050" b="1" baseline="0">
              <a:solidFill>
                <a:srgbClr val="FFFFFF"/>
              </a:solidFill>
            </a:rPr>
            <a:t>Send Email</a:t>
          </a:r>
          <a:endParaRPr lang="en-MY" sz="1050" b="1">
            <a:solidFill>
              <a:srgbClr val="FFFFFF"/>
            </a:solidFill>
          </a:endParaRPr>
        </a:p>
      </xdr:txBody>
    </xdr:sp>
    <xdr:clientData/>
  </xdr:twoCellAnchor>
  <xdr:twoCellAnchor>
    <xdr:from>
      <xdr:col>6</xdr:col>
      <xdr:colOff>2847975</xdr:colOff>
      <xdr:row>1</xdr:row>
      <xdr:rowOff>142875</xdr:rowOff>
    </xdr:from>
    <xdr:to>
      <xdr:col>7</xdr:col>
      <xdr:colOff>423689</xdr:colOff>
      <xdr:row>3</xdr:row>
      <xdr:rowOff>3020</xdr:rowOff>
    </xdr:to>
    <xdr:sp macro="[0]!Lock_Example" textlink="">
      <xdr:nvSpPr>
        <xdr:cNvPr id="2" name="Calc Data">
          <a:extLst>
            <a:ext uri="{FF2B5EF4-FFF2-40B4-BE49-F238E27FC236}">
              <a16:creationId xmlns:a16="http://schemas.microsoft.com/office/drawing/2014/main" id="{8166A152-5FA0-45D7-B14A-9BB2D3769A35}"/>
            </a:ext>
          </a:extLst>
        </xdr:cNvPr>
        <xdr:cNvSpPr/>
      </xdr:nvSpPr>
      <xdr:spPr>
        <a:xfrm>
          <a:off x="10534650" y="342900"/>
          <a:ext cx="785639" cy="345920"/>
        </a:xfrm>
        <a:prstGeom prst="roundRect">
          <a:avLst/>
        </a:prstGeom>
        <a:solidFill>
          <a:srgbClr val="0000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1050" b="1">
              <a:solidFill>
                <a:srgbClr val="FFFFFF"/>
              </a:solidFill>
            </a:rPr>
            <a:t>LOCK VBA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44"/>
  <sheetViews>
    <sheetView tabSelected="1" topLeftCell="B1" workbookViewId="0">
      <selection activeCell="G4" sqref="G4"/>
    </sheetView>
  </sheetViews>
  <sheetFormatPr defaultColWidth="0" defaultRowHeight="15" customHeight="1" zeroHeight="1" x14ac:dyDescent="0.25"/>
  <cols>
    <col min="1" max="1" width="2.85546875" customWidth="1"/>
    <col min="2" max="2" width="32.7109375" customWidth="1"/>
    <col min="3" max="3" width="43" customWidth="1"/>
    <col min="4" max="4" width="16" customWidth="1"/>
    <col min="5" max="5" width="11.5703125" customWidth="1"/>
    <col min="6" max="6" width="9.140625" customWidth="1"/>
    <col min="7" max="7" width="48.140625" customWidth="1"/>
    <col min="8" max="8" width="9.140625" customWidth="1"/>
    <col min="9" max="9" width="2.85546875" customWidth="1"/>
    <col min="10" max="16384" width="9.140625" hidden="1"/>
  </cols>
  <sheetData>
    <row r="1" spans="1:9" ht="15.75" thickBot="1" x14ac:dyDescent="0.3">
      <c r="A1" s="3"/>
      <c r="B1" s="4"/>
      <c r="C1" s="5"/>
      <c r="D1" s="3"/>
      <c r="E1" s="35"/>
      <c r="F1" s="35" t="s">
        <v>23</v>
      </c>
      <c r="G1" s="36"/>
      <c r="H1" s="36"/>
      <c r="I1" s="36"/>
    </row>
    <row r="2" spans="1:9" ht="23.25" x14ac:dyDescent="0.25">
      <c r="A2" s="3"/>
      <c r="B2" s="6" t="s">
        <v>192</v>
      </c>
      <c r="C2" s="7"/>
      <c r="D2" s="8"/>
      <c r="E2" s="37"/>
      <c r="F2" s="37"/>
      <c r="G2" s="38"/>
      <c r="H2" s="39"/>
      <c r="I2" s="36"/>
    </row>
    <row r="3" spans="1:9" x14ac:dyDescent="0.25">
      <c r="A3" s="3"/>
      <c r="B3" s="10" t="s">
        <v>1</v>
      </c>
      <c r="C3" s="5"/>
      <c r="D3" s="3"/>
      <c r="E3" s="35"/>
      <c r="F3" s="35"/>
      <c r="G3" s="36"/>
      <c r="H3" s="40"/>
      <c r="I3" s="36"/>
    </row>
    <row r="4" spans="1:9" ht="15.75" thickBot="1" x14ac:dyDescent="0.3">
      <c r="A4" s="3"/>
      <c r="B4" s="12" t="s">
        <v>22</v>
      </c>
      <c r="C4" s="13"/>
      <c r="D4" s="14"/>
      <c r="E4" s="41"/>
      <c r="F4" s="41"/>
      <c r="G4" s="42"/>
      <c r="H4" s="43"/>
      <c r="I4" s="36"/>
    </row>
    <row r="5" spans="1:9" hidden="1" x14ac:dyDescent="0.25">
      <c r="A5" s="3"/>
      <c r="B5" s="10"/>
      <c r="C5" s="5"/>
      <c r="D5" s="3"/>
      <c r="E5" s="35"/>
      <c r="F5" s="35"/>
      <c r="G5" s="36"/>
      <c r="H5" s="40"/>
      <c r="I5" s="36"/>
    </row>
    <row r="6" spans="1:9" hidden="1" x14ac:dyDescent="0.25">
      <c r="A6" s="3"/>
      <c r="B6" s="10"/>
      <c r="C6" s="5"/>
      <c r="D6" s="3"/>
      <c r="E6" s="35"/>
      <c r="F6" s="35"/>
      <c r="G6" s="36"/>
      <c r="H6" s="40"/>
      <c r="I6" s="36"/>
    </row>
    <row r="7" spans="1:9" ht="15.75" hidden="1" thickBot="1" x14ac:dyDescent="0.3">
      <c r="A7" s="3"/>
      <c r="B7" s="16" t="s">
        <v>2</v>
      </c>
      <c r="C7" s="5"/>
      <c r="D7" s="3"/>
      <c r="E7" s="35"/>
      <c r="F7" s="35"/>
      <c r="G7" s="36"/>
      <c r="H7" s="40"/>
      <c r="I7" s="36"/>
    </row>
    <row r="8" spans="1:9" hidden="1" x14ac:dyDescent="0.25">
      <c r="A8" s="3"/>
      <c r="B8" s="10" t="s">
        <v>0</v>
      </c>
      <c r="C8" s="17"/>
      <c r="D8" s="3"/>
      <c r="E8" s="35"/>
      <c r="F8" s="35"/>
      <c r="G8" s="36"/>
      <c r="H8" s="40"/>
      <c r="I8" s="36"/>
    </row>
    <row r="9" spans="1:9" ht="4.5" hidden="1" customHeight="1" thickBot="1" x14ac:dyDescent="0.3">
      <c r="A9" s="3"/>
      <c r="B9" s="10"/>
      <c r="C9" s="18"/>
      <c r="D9" s="3"/>
      <c r="E9" s="35"/>
      <c r="F9" s="35"/>
      <c r="G9" s="36"/>
      <c r="H9" s="40"/>
      <c r="I9" s="36"/>
    </row>
    <row r="10" spans="1:9" hidden="1" x14ac:dyDescent="0.25">
      <c r="A10" s="3"/>
      <c r="B10" s="10" t="s">
        <v>3</v>
      </c>
      <c r="C10" s="19"/>
      <c r="D10" s="3"/>
      <c r="E10" s="35"/>
      <c r="F10" s="35"/>
      <c r="G10" s="36"/>
      <c r="H10" s="40"/>
      <c r="I10" s="36"/>
    </row>
    <row r="11" spans="1:9" ht="4.5" hidden="1" customHeight="1" thickBot="1" x14ac:dyDescent="0.3">
      <c r="A11" s="3"/>
      <c r="B11" s="10"/>
      <c r="C11" s="5"/>
      <c r="D11" s="3"/>
      <c r="E11" s="35"/>
      <c r="F11" s="35"/>
      <c r="G11" s="36"/>
      <c r="H11" s="40"/>
      <c r="I11" s="36"/>
    </row>
    <row r="12" spans="1:9" ht="15.75" hidden="1" thickBot="1" x14ac:dyDescent="0.3">
      <c r="A12" s="3"/>
      <c r="B12" s="10" t="s">
        <v>4</v>
      </c>
      <c r="C12" s="20"/>
      <c r="D12" s="3"/>
      <c r="E12" s="44" t="s">
        <v>5</v>
      </c>
      <c r="F12" s="45"/>
      <c r="G12" s="36"/>
      <c r="H12" s="40"/>
      <c r="I12" s="36"/>
    </row>
    <row r="13" spans="1:9" ht="15.75" hidden="1" customHeight="1" x14ac:dyDescent="0.25">
      <c r="A13" s="3"/>
      <c r="B13" s="10" t="s">
        <v>6</v>
      </c>
      <c r="C13" s="19"/>
      <c r="D13" s="3"/>
      <c r="E13" s="35"/>
      <c r="F13" s="35"/>
      <c r="G13" s="36"/>
      <c r="H13" s="40"/>
      <c r="I13" s="36"/>
    </row>
    <row r="14" spans="1:9" ht="39" customHeight="1" x14ac:dyDescent="0.25">
      <c r="A14" s="3"/>
      <c r="B14" s="16" t="s">
        <v>7</v>
      </c>
      <c r="C14" s="5"/>
      <c r="D14" s="3"/>
      <c r="E14" s="35"/>
      <c r="F14" s="35"/>
      <c r="G14" s="36"/>
      <c r="H14" s="40"/>
      <c r="I14" s="36"/>
    </row>
    <row r="15" spans="1:9" ht="4.5" customHeight="1" thickBot="1" x14ac:dyDescent="0.3">
      <c r="A15" s="3"/>
      <c r="B15" s="10"/>
      <c r="C15" s="5"/>
      <c r="D15" s="3"/>
      <c r="E15" s="5"/>
      <c r="F15" s="5"/>
      <c r="G15" s="3"/>
      <c r="H15" s="11"/>
      <c r="I15" s="3"/>
    </row>
    <row r="16" spans="1:9" ht="27" customHeight="1" thickBot="1" x14ac:dyDescent="0.3">
      <c r="A16" s="5"/>
      <c r="B16" s="10" t="s">
        <v>202</v>
      </c>
      <c r="C16" s="61" t="str">
        <f ca="1">TEXT(NOW(),"YYYYMMDD-HHMM")</f>
        <v>20250826-1709</v>
      </c>
      <c r="D16" s="58"/>
      <c r="E16" s="58"/>
      <c r="F16" s="58"/>
      <c r="G16" s="58"/>
      <c r="H16" s="21"/>
      <c r="I16" s="5"/>
    </row>
    <row r="17" spans="1:9" ht="4.5" hidden="1" customHeight="1" thickBot="1" x14ac:dyDescent="0.3">
      <c r="A17" s="5"/>
      <c r="B17" s="10"/>
      <c r="C17" s="5"/>
      <c r="D17" s="5"/>
      <c r="E17" s="5"/>
      <c r="F17" s="5"/>
      <c r="G17" s="5"/>
      <c r="H17" s="21"/>
      <c r="I17" s="5"/>
    </row>
    <row r="18" spans="1:9" ht="27" hidden="1" customHeight="1" x14ac:dyDescent="0.25">
      <c r="A18" s="5"/>
      <c r="B18" s="10"/>
      <c r="C18" s="59"/>
      <c r="D18" s="60"/>
      <c r="E18" s="60"/>
      <c r="F18" s="60"/>
      <c r="G18" s="60"/>
      <c r="H18" s="21"/>
      <c r="I18" s="5"/>
    </row>
    <row r="19" spans="1:9" ht="4.5" hidden="1" customHeight="1" thickBot="1" x14ac:dyDescent="0.3">
      <c r="A19" s="5"/>
      <c r="B19" s="10"/>
      <c r="C19" s="5"/>
      <c r="D19" s="5"/>
      <c r="E19" s="5"/>
      <c r="F19" s="5"/>
      <c r="G19" s="5"/>
      <c r="H19" s="21"/>
      <c r="I19" s="5"/>
    </row>
    <row r="20" spans="1:9" ht="27" hidden="1" customHeight="1" thickBot="1" x14ac:dyDescent="0.3">
      <c r="A20" s="5"/>
      <c r="B20" s="10"/>
      <c r="C20" s="59"/>
      <c r="D20" s="60"/>
      <c r="E20" s="60"/>
      <c r="F20" s="60"/>
      <c r="G20" s="60"/>
      <c r="H20" s="21"/>
      <c r="I20" s="5"/>
    </row>
    <row r="21" spans="1:9" ht="25.5" customHeight="1" thickBot="1" x14ac:dyDescent="0.3">
      <c r="A21" s="5"/>
      <c r="B21" s="10" t="s">
        <v>36</v>
      </c>
      <c r="C21" s="59" t="s">
        <v>37</v>
      </c>
      <c r="D21" s="60"/>
      <c r="E21" s="60"/>
      <c r="F21" s="60"/>
      <c r="G21" s="60"/>
      <c r="H21" s="21"/>
      <c r="I21" s="5"/>
    </row>
    <row r="22" spans="1:9" ht="27" customHeight="1" thickBot="1" x14ac:dyDescent="0.3">
      <c r="A22" s="5"/>
      <c r="B22" s="10" t="s">
        <v>193</v>
      </c>
      <c r="C22" s="57">
        <f>COUNTA(Data!A:A)+1</f>
        <v>73</v>
      </c>
      <c r="D22" s="58"/>
      <c r="E22" s="58"/>
      <c r="F22" s="58"/>
      <c r="G22" s="58"/>
      <c r="H22" s="21"/>
      <c r="I22" s="5"/>
    </row>
    <row r="23" spans="1:9" ht="27" customHeight="1" thickBot="1" x14ac:dyDescent="0.3">
      <c r="A23" s="5"/>
      <c r="B23" s="10" t="s">
        <v>198</v>
      </c>
      <c r="C23" s="57">
        <f>COUNTA(GroupEmail!A:A)+1</f>
        <v>10</v>
      </c>
      <c r="D23" s="58"/>
      <c r="E23" s="58"/>
      <c r="F23" s="58"/>
      <c r="G23" s="58"/>
      <c r="H23" s="21"/>
      <c r="I23" s="5"/>
    </row>
    <row r="24" spans="1:9" ht="27" customHeight="1" x14ac:dyDescent="0.25">
      <c r="A24" s="5"/>
      <c r="B24" s="10" t="s">
        <v>203</v>
      </c>
      <c r="C24" s="59" t="s">
        <v>204</v>
      </c>
      <c r="D24" s="60"/>
      <c r="E24" s="60"/>
      <c r="F24" s="60"/>
      <c r="G24" s="60"/>
      <c r="H24" s="21"/>
      <c r="I24" s="5"/>
    </row>
    <row r="25" spans="1:9" ht="30.75" customHeight="1" x14ac:dyDescent="0.25">
      <c r="A25" s="3"/>
      <c r="B25" s="10"/>
      <c r="C25" s="22"/>
      <c r="D25" s="3"/>
      <c r="E25" s="5"/>
      <c r="F25" s="5"/>
      <c r="G25" s="3"/>
      <c r="H25" s="11"/>
      <c r="I25" s="3"/>
    </row>
    <row r="26" spans="1:9" x14ac:dyDescent="0.25">
      <c r="A26" s="3"/>
      <c r="B26" s="10"/>
      <c r="C26" s="5"/>
      <c r="D26" s="3"/>
      <c r="E26" s="5"/>
      <c r="F26" s="5"/>
      <c r="G26" s="3"/>
      <c r="H26" s="11"/>
      <c r="I26" s="3"/>
    </row>
    <row r="27" spans="1:9" ht="15.75" thickBot="1" x14ac:dyDescent="0.3">
      <c r="A27" s="3"/>
      <c r="B27" s="16" t="s">
        <v>8</v>
      </c>
      <c r="C27" s="5"/>
      <c r="D27" s="3"/>
      <c r="E27" s="5"/>
      <c r="F27" s="5"/>
      <c r="G27" s="3"/>
      <c r="H27" s="11"/>
      <c r="I27" s="3"/>
    </row>
    <row r="28" spans="1:9" ht="15.75" thickBot="1" x14ac:dyDescent="0.3">
      <c r="A28" s="3"/>
      <c r="B28" s="10" t="s">
        <v>9</v>
      </c>
      <c r="C28" s="23" t="s">
        <v>10</v>
      </c>
      <c r="D28" s="3"/>
      <c r="E28" s="5"/>
      <c r="F28" s="5"/>
      <c r="G28" s="3"/>
      <c r="H28" s="11"/>
      <c r="I28" s="3"/>
    </row>
    <row r="29" spans="1:9" ht="15.75" thickBot="1" x14ac:dyDescent="0.3">
      <c r="A29" s="3"/>
      <c r="B29" s="10" t="s">
        <v>11</v>
      </c>
      <c r="C29" s="24">
        <v>45338.540833333333</v>
      </c>
      <c r="D29" s="3"/>
      <c r="E29" s="5"/>
      <c r="F29" s="5"/>
      <c r="G29" s="3"/>
      <c r="H29" s="11"/>
      <c r="I29" s="3"/>
    </row>
    <row r="30" spans="1:9" ht="15.75" thickBot="1" x14ac:dyDescent="0.3">
      <c r="A30" s="3"/>
      <c r="B30" s="10" t="s">
        <v>12</v>
      </c>
      <c r="C30" s="25">
        <v>9.2592592592592588E-5</v>
      </c>
      <c r="D30" s="3"/>
      <c r="E30" s="5"/>
      <c r="F30" s="5"/>
      <c r="G30" s="3"/>
      <c r="H30" s="11"/>
      <c r="I30" s="3"/>
    </row>
    <row r="31" spans="1:9" x14ac:dyDescent="0.25">
      <c r="A31" s="3"/>
      <c r="B31" s="10" t="s">
        <v>13</v>
      </c>
      <c r="C31" s="23" t="s">
        <v>14</v>
      </c>
      <c r="D31" s="3"/>
      <c r="E31" s="5"/>
      <c r="F31" s="5"/>
      <c r="G31" s="3"/>
      <c r="H31" s="11"/>
      <c r="I31" s="3"/>
    </row>
    <row r="32" spans="1:9" x14ac:dyDescent="0.25">
      <c r="A32" s="3"/>
      <c r="B32" s="10"/>
      <c r="C32" s="5"/>
      <c r="D32" s="3"/>
      <c r="E32" s="5"/>
      <c r="F32" s="5"/>
      <c r="G32" s="3"/>
      <c r="H32" s="11"/>
      <c r="I32" s="3"/>
    </row>
    <row r="33" spans="1:9" x14ac:dyDescent="0.25">
      <c r="A33" s="3"/>
      <c r="B33" s="10"/>
      <c r="C33" s="5"/>
      <c r="D33" s="3"/>
      <c r="E33" s="5"/>
      <c r="F33" s="5"/>
      <c r="G33" s="3"/>
      <c r="H33" s="11"/>
      <c r="I33" s="3"/>
    </row>
    <row r="34" spans="1:9" x14ac:dyDescent="0.25">
      <c r="A34" s="3"/>
      <c r="B34" s="10"/>
      <c r="C34" s="5"/>
      <c r="D34" s="3"/>
      <c r="E34" s="5"/>
      <c r="F34" s="5"/>
      <c r="G34" s="3"/>
      <c r="H34" s="11"/>
      <c r="I34" s="3"/>
    </row>
    <row r="35" spans="1:9" x14ac:dyDescent="0.25">
      <c r="A35" s="3"/>
      <c r="B35" s="10"/>
      <c r="C35" s="5"/>
      <c r="D35" s="3"/>
      <c r="E35" s="5"/>
      <c r="F35" s="5"/>
      <c r="G35" s="3"/>
      <c r="H35" s="11"/>
      <c r="I35" s="3"/>
    </row>
    <row r="36" spans="1:9" ht="15.75" thickBot="1" x14ac:dyDescent="0.3">
      <c r="A36" s="3"/>
      <c r="B36" s="26"/>
      <c r="C36" s="13"/>
      <c r="D36" s="14"/>
      <c r="E36" s="13"/>
      <c r="F36" s="13"/>
      <c r="G36" s="14"/>
      <c r="H36" s="15"/>
      <c r="I36" s="3"/>
    </row>
    <row r="37" spans="1:9" ht="15" customHeight="1" x14ac:dyDescent="0.25">
      <c r="A37" s="3"/>
      <c r="B37" s="4"/>
      <c r="C37" s="5"/>
      <c r="D37" s="3"/>
      <c r="E37" s="5"/>
      <c r="F37" s="5"/>
      <c r="G37" s="3"/>
      <c r="H37" s="3"/>
      <c r="I37" s="3"/>
    </row>
    <row r="38" spans="1:9" ht="15" customHeight="1" thickBot="1" x14ac:dyDescent="0.3">
      <c r="A38" s="3"/>
      <c r="B38" s="4"/>
      <c r="C38" s="5"/>
      <c r="D38" s="3"/>
      <c r="E38" s="5"/>
      <c r="F38" s="5"/>
      <c r="G38" s="3"/>
      <c r="H38" s="3"/>
      <c r="I38" s="3"/>
    </row>
    <row r="39" spans="1:9" ht="40.5" customHeight="1" x14ac:dyDescent="0.25">
      <c r="A39" s="3"/>
      <c r="B39" s="6"/>
      <c r="C39" s="7"/>
      <c r="D39" s="8"/>
      <c r="E39" s="7"/>
      <c r="F39" s="7"/>
      <c r="G39" s="8"/>
      <c r="H39" s="9"/>
      <c r="I39" s="3"/>
    </row>
    <row r="40" spans="1:9" ht="15" customHeight="1" x14ac:dyDescent="0.25">
      <c r="A40" s="3"/>
      <c r="B40" s="16"/>
      <c r="C40" s="27"/>
      <c r="D40" s="28"/>
      <c r="E40" s="29"/>
      <c r="F40" s="5"/>
      <c r="G40" s="3"/>
      <c r="H40" s="11"/>
      <c r="I40" s="3"/>
    </row>
    <row r="41" spans="1:9" ht="15" hidden="1" customHeight="1" x14ac:dyDescent="0.25">
      <c r="A41" s="3"/>
      <c r="B41" s="10"/>
      <c r="C41" s="34"/>
      <c r="D41" s="28"/>
      <c r="E41" s="29"/>
      <c r="F41" s="5"/>
      <c r="G41" s="3"/>
      <c r="H41" s="11"/>
      <c r="I41" s="3"/>
    </row>
    <row r="42" spans="1:9" ht="31.5" customHeight="1" x14ac:dyDescent="0.25">
      <c r="A42" s="3"/>
      <c r="B42" s="30"/>
      <c r="C42" s="5"/>
      <c r="D42" s="5"/>
      <c r="E42" s="5"/>
      <c r="F42" s="5"/>
      <c r="G42" s="3"/>
      <c r="H42" s="11"/>
      <c r="I42" s="3"/>
    </row>
    <row r="43" spans="1:9" ht="15" customHeight="1" thickBot="1" x14ac:dyDescent="0.3">
      <c r="A43" s="3"/>
      <c r="B43" s="26"/>
      <c r="C43" s="13"/>
      <c r="D43" s="14"/>
      <c r="E43" s="13"/>
      <c r="F43" s="13"/>
      <c r="G43" s="14"/>
      <c r="H43" s="15"/>
      <c r="I43" s="3"/>
    </row>
    <row r="44" spans="1:9" ht="15" customHeight="1" x14ac:dyDescent="0.25">
      <c r="A44" s="3"/>
      <c r="B44" s="4"/>
      <c r="C44" s="5"/>
      <c r="D44" s="3"/>
      <c r="E44" s="5"/>
      <c r="F44" s="5"/>
      <c r="G44" s="3"/>
      <c r="H44" s="3"/>
      <c r="I44" s="3"/>
    </row>
  </sheetData>
  <sheetProtection algorithmName="SHA-512" hashValue="j1vR4zelHfPVD3WKadKt+rAHxIAODSuJqCOzVxQ/60LyRK3TMXbJli4p68tGPpVs+HMSqH5Py8O82d+IlNkaRg==" saltValue="i7/Ig0UdeJMg/AKEhgffoA==" spinCount="100000" sheet="1" objects="1" scenarios="1"/>
  <protectedRanges>
    <protectedRange sqref="C16:G24 C28:C31" name="Range1"/>
  </protectedRanges>
  <mergeCells count="7">
    <mergeCell ref="C23:G23"/>
    <mergeCell ref="C24:G24"/>
    <mergeCell ref="C16:G16"/>
    <mergeCell ref="C18:G18"/>
    <mergeCell ref="C20:G20"/>
    <mergeCell ref="C21:G21"/>
    <mergeCell ref="C22:G22"/>
  </mergeCells>
  <pageMargins left="0.7" right="0.7" top="0.75" bottom="0.75" header="0.3" footer="0.3"/>
  <pageSetup orientation="portrait" r:id="rId1"/>
  <headerFooter>
    <oddFooter>&amp;C&amp;"Calibri,Regular"&amp;8Template produced by Jerrison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301"/>
  <sheetViews>
    <sheetView workbookViewId="0">
      <selection activeCell="H2" sqref="H2"/>
    </sheetView>
  </sheetViews>
  <sheetFormatPr defaultRowHeight="15" x14ac:dyDescent="0.25"/>
  <cols>
    <col min="1" max="1" width="62.140625" style="46" bestFit="1" customWidth="1"/>
    <col min="2" max="2" width="15.5703125" style="47" bestFit="1" customWidth="1"/>
    <col min="3" max="3" width="13.28515625" style="1" customWidth="1"/>
    <col min="4" max="4" width="16" style="1" customWidth="1"/>
    <col min="5" max="5" width="40.28515625" style="56" customWidth="1"/>
    <col min="6" max="6" width="63.85546875" style="49" customWidth="1"/>
    <col min="7" max="7" width="12.5703125" style="48" customWidth="1"/>
    <col min="8" max="8" width="17" customWidth="1"/>
    <col min="9" max="9" width="17.140625" customWidth="1"/>
    <col min="10" max="10" width="24.7109375" bestFit="1" customWidth="1"/>
    <col min="11" max="11" width="47.140625" bestFit="1" customWidth="1"/>
  </cols>
  <sheetData>
    <row r="1" spans="1:12" x14ac:dyDescent="0.25">
      <c r="A1" s="51" t="s">
        <v>188</v>
      </c>
      <c r="B1" s="52" t="s">
        <v>189</v>
      </c>
      <c r="C1" s="53" t="s">
        <v>190</v>
      </c>
      <c r="D1" s="53" t="s">
        <v>191</v>
      </c>
      <c r="E1" s="55" t="s">
        <v>194</v>
      </c>
      <c r="F1" s="55" t="s">
        <v>195</v>
      </c>
      <c r="G1" s="50"/>
      <c r="H1" s="2" t="s">
        <v>38</v>
      </c>
      <c r="I1" s="2" t="s">
        <v>24</v>
      </c>
      <c r="J1" s="2" t="s">
        <v>35</v>
      </c>
      <c r="K1" s="2" t="s">
        <v>199</v>
      </c>
      <c r="L1" s="2" t="s">
        <v>200</v>
      </c>
    </row>
    <row r="2" spans="1:12" x14ac:dyDescent="0.25">
      <c r="A2" t="s">
        <v>46</v>
      </c>
      <c r="B2" s="54">
        <v>45307.685173611113</v>
      </c>
      <c r="C2" t="s">
        <v>47</v>
      </c>
      <c r="D2" t="s">
        <v>37</v>
      </c>
      <c r="E2" s="56" t="str">
        <f>IF(A2="","",D2&amp;"\"&amp;H2)</f>
        <v>C:\Users\Jerrison Chai\Documents\02 DEMO\WorkingFile\HK</v>
      </c>
      <c r="F2" s="56" t="str">
        <f>IF(A2="","",E2&amp;"\"&amp;A2)</f>
        <v>C:\Users\Jerrison Chai\Documents\02 DEMO\WorkingFile\HK\HK2023-07 Zalora Transaction Report (v20240116-1626).xlsx</v>
      </c>
      <c r="H2" t="str">
        <f>IF(A2="","",LEFT(A2,2))</f>
        <v>HK</v>
      </c>
      <c r="I2" t="str">
        <f>IF(A2="","00 NOT FOUND",INDEX(Reference!B:B,MATCH(Data!H2,Reference!A:A,0),0))</f>
        <v>Hong Kong</v>
      </c>
      <c r="J2" t="str">
        <f>IF(A2="","",INDEX(Reference!C:C,MATCH(Data!H2,Reference!A:A,0),0))</f>
        <v>jerrisonchai@gmail.com</v>
      </c>
      <c r="K2" t="str">
        <f ca="1">IF(A2="","",I2&amp;" Summary Reports - " &amp; TEXT(NOW(),"YYYY-MM-DD-HHMM"))</f>
        <v>Hong Kong Summary Reports - 2025-08-26-1709</v>
      </c>
      <c r="L2" t="str">
        <f>IF(A2="","","Hi, kindly refer to the attached. Thanks")</f>
        <v>Hi, kindly refer to the attached. Thanks</v>
      </c>
    </row>
    <row r="3" spans="1:12" x14ac:dyDescent="0.25">
      <c r="A3" t="s">
        <v>48</v>
      </c>
      <c r="B3" s="54">
        <v>45307.686122685183</v>
      </c>
      <c r="C3" t="s">
        <v>49</v>
      </c>
      <c r="D3" t="s">
        <v>37</v>
      </c>
      <c r="E3" s="56" t="str">
        <f t="shared" ref="E3:E66" si="0">IF(A3="","",D3&amp;"\"&amp;H3)</f>
        <v>C:\Users\Jerrison Chai\Documents\02 DEMO\WorkingFile\HK</v>
      </c>
      <c r="F3" s="56" t="str">
        <f t="shared" ref="F3:F66" si="1">IF(A3="","",E3&amp;"\"&amp;A3)</f>
        <v>C:\Users\Jerrison Chai\Documents\02 DEMO\WorkingFile\HK\HK2023-08 Zalora Transaction Report (v20240116-1628).xlsx</v>
      </c>
      <c r="H3" t="str">
        <f t="shared" ref="H3:H66" si="2">IF(A3="","",LEFT(A3,2))</f>
        <v>HK</v>
      </c>
      <c r="I3" t="str">
        <f>IF(A3="","00 NOT FOUND",INDEX(Reference!B:B,MATCH(Data!H3,Reference!A:A,0),0))</f>
        <v>Hong Kong</v>
      </c>
      <c r="J3" t="str">
        <f>IF(A3="","",INDEX(Reference!C:C,MATCH(Data!H3,Reference!A:A,0),0))</f>
        <v>jerrisonchai@gmail.com</v>
      </c>
      <c r="K3" t="str">
        <f t="shared" ref="K3:K66" ca="1" si="3">IF(A3="","",I3&amp;" Summary Reports - " &amp; TEXT(NOW(),"YYYY-MM-DD-HHMM"))</f>
        <v>Hong Kong Summary Reports - 2025-08-26-1709</v>
      </c>
      <c r="L3" t="str">
        <f t="shared" ref="L3:L66" si="4">IF(A3="","","Hi, kindly refer to the attached. Thanks")</f>
        <v>Hi, kindly refer to the attached. Thanks</v>
      </c>
    </row>
    <row r="4" spans="1:12" x14ac:dyDescent="0.25">
      <c r="A4" t="s">
        <v>50</v>
      </c>
      <c r="B4" s="54">
        <v>45307.686967592592</v>
      </c>
      <c r="C4" t="s">
        <v>51</v>
      </c>
      <c r="D4" t="s">
        <v>37</v>
      </c>
      <c r="E4" s="56" t="str">
        <f t="shared" si="0"/>
        <v>C:\Users\Jerrison Chai\Documents\02 DEMO\WorkingFile\HK</v>
      </c>
      <c r="F4" s="56" t="str">
        <f t="shared" si="1"/>
        <v>C:\Users\Jerrison Chai\Documents\02 DEMO\WorkingFile\HK\HK2023-09 Zalora Transaction Report (v20240116-1629).xlsx</v>
      </c>
      <c r="H4" t="str">
        <f t="shared" si="2"/>
        <v>HK</v>
      </c>
      <c r="I4" t="str">
        <f>IF(A4="","00 NOT FOUND",INDEX(Reference!B:B,MATCH(Data!H4,Reference!A:A,0),0))</f>
        <v>Hong Kong</v>
      </c>
      <c r="J4" t="str">
        <f>IF(A4="","",INDEX(Reference!C:C,MATCH(Data!H4,Reference!A:A,0),0))</f>
        <v>jerrisonchai@gmail.com</v>
      </c>
      <c r="K4" t="str">
        <f t="shared" ca="1" si="3"/>
        <v>Hong Kong Summary Reports - 2025-08-26-1709</v>
      </c>
      <c r="L4" t="str">
        <f t="shared" si="4"/>
        <v>Hi, kindly refer to the attached. Thanks</v>
      </c>
    </row>
    <row r="5" spans="1:12" x14ac:dyDescent="0.25">
      <c r="A5" t="s">
        <v>52</v>
      </c>
      <c r="B5" s="54">
        <v>45307.687881944446</v>
      </c>
      <c r="C5" t="s">
        <v>53</v>
      </c>
      <c r="D5" t="s">
        <v>37</v>
      </c>
      <c r="E5" s="56" t="str">
        <f t="shared" si="0"/>
        <v>C:\Users\Jerrison Chai\Documents\02 DEMO\WorkingFile\HK</v>
      </c>
      <c r="F5" s="56" t="str">
        <f t="shared" si="1"/>
        <v>C:\Users\Jerrison Chai\Documents\02 DEMO\WorkingFile\HK\HK2023-10 Zalora Transaction Report (v20240116-1630).xlsx</v>
      </c>
      <c r="H5" t="str">
        <f t="shared" si="2"/>
        <v>HK</v>
      </c>
      <c r="I5" t="str">
        <f>IF(A5="","00 NOT FOUND",INDEX(Reference!B:B,MATCH(Data!H5,Reference!A:A,0),0))</f>
        <v>Hong Kong</v>
      </c>
      <c r="J5" t="str">
        <f>IF(A5="","",INDEX(Reference!C:C,MATCH(Data!H5,Reference!A:A,0),0))</f>
        <v>jerrisonchai@gmail.com</v>
      </c>
      <c r="K5" t="str">
        <f t="shared" ca="1" si="3"/>
        <v>Hong Kong Summary Reports - 2025-08-26-1709</v>
      </c>
      <c r="L5" t="str">
        <f t="shared" si="4"/>
        <v>Hi, kindly refer to the attached. Thanks</v>
      </c>
    </row>
    <row r="6" spans="1:12" x14ac:dyDescent="0.25">
      <c r="A6" t="s">
        <v>54</v>
      </c>
      <c r="B6" s="54">
        <v>45303.634710648148</v>
      </c>
      <c r="C6" t="s">
        <v>55</v>
      </c>
      <c r="D6" t="s">
        <v>37</v>
      </c>
      <c r="E6" s="56" t="str">
        <f t="shared" si="0"/>
        <v>C:\Users\Jerrison Chai\Documents\02 DEMO\WorkingFile\HK</v>
      </c>
      <c r="F6" s="56" t="str">
        <f t="shared" si="1"/>
        <v>C:\Users\Jerrison Chai\Documents\02 DEMO\WorkingFile\HK\HK2023-11 Zalora Transaction Report (v20240112-1513).xlsx</v>
      </c>
      <c r="H6" t="str">
        <f t="shared" si="2"/>
        <v>HK</v>
      </c>
      <c r="I6" t="str">
        <f>IF(A6="","00 NOT FOUND",INDEX(Reference!B:B,MATCH(Data!H6,Reference!A:A,0),0))</f>
        <v>Hong Kong</v>
      </c>
      <c r="J6" t="str">
        <f>IF(A6="","",INDEX(Reference!C:C,MATCH(Data!H6,Reference!A:A,0),0))</f>
        <v>jerrisonchai@gmail.com</v>
      </c>
      <c r="K6" t="str">
        <f t="shared" ca="1" si="3"/>
        <v>Hong Kong Summary Reports - 2025-08-26-1709</v>
      </c>
      <c r="L6" t="str">
        <f t="shared" si="4"/>
        <v>Hi, kindly refer to the attached. Thanks</v>
      </c>
    </row>
    <row r="7" spans="1:12" x14ac:dyDescent="0.25">
      <c r="A7" t="s">
        <v>56</v>
      </c>
      <c r="B7" s="54">
        <v>45307.677222222221</v>
      </c>
      <c r="C7" t="s">
        <v>57</v>
      </c>
      <c r="D7" t="s">
        <v>37</v>
      </c>
      <c r="E7" s="56" t="str">
        <f t="shared" si="0"/>
        <v>C:\Users\Jerrison Chai\Documents\02 DEMO\WorkingFile\ID</v>
      </c>
      <c r="F7" s="56" t="str">
        <f t="shared" si="1"/>
        <v>C:\Users\Jerrison Chai\Documents\02 DEMO\WorkingFile\ID\ID2023-07 Lazada Expenses Summary report (v20240116-1615).xlsx</v>
      </c>
      <c r="H7" t="str">
        <f t="shared" si="2"/>
        <v>ID</v>
      </c>
      <c r="I7" t="str">
        <f>IF(A7="","00 NOT FOUND",INDEX(Reference!B:B,MATCH(Data!H7,Reference!A:A,0),0))</f>
        <v>Indonesia</v>
      </c>
      <c r="J7" t="str">
        <f>IF(A7="","",INDEX(Reference!C:C,MATCH(Data!H7,Reference!A:A,0),0))</f>
        <v>jerrisonchai@gmail.com</v>
      </c>
      <c r="K7" t="str">
        <f t="shared" ca="1" si="3"/>
        <v>Indonesia Summary Reports - 2025-08-26-1709</v>
      </c>
      <c r="L7" t="str">
        <f t="shared" si="4"/>
        <v>Hi, kindly refer to the attached. Thanks</v>
      </c>
    </row>
    <row r="8" spans="1:12" x14ac:dyDescent="0.25">
      <c r="A8" t="s">
        <v>58</v>
      </c>
      <c r="B8" s="54">
        <v>45307.678067129629</v>
      </c>
      <c r="C8" t="s">
        <v>59</v>
      </c>
      <c r="D8" t="s">
        <v>37</v>
      </c>
      <c r="E8" s="56" t="str">
        <f t="shared" si="0"/>
        <v>C:\Users\Jerrison Chai\Documents\02 DEMO\WorkingFile\ID</v>
      </c>
      <c r="F8" s="56" t="str">
        <f t="shared" si="1"/>
        <v>C:\Users\Jerrison Chai\Documents\02 DEMO\WorkingFile\ID\ID2023-08 Lazada Expenses Summary report (v20240116-1616).xlsx</v>
      </c>
      <c r="H8" t="str">
        <f t="shared" si="2"/>
        <v>ID</v>
      </c>
      <c r="I8" t="str">
        <f>IF(A8="","00 NOT FOUND",INDEX(Reference!B:B,MATCH(Data!H8,Reference!A:A,0),0))</f>
        <v>Indonesia</v>
      </c>
      <c r="J8" t="str">
        <f>IF(A8="","",INDEX(Reference!C:C,MATCH(Data!H8,Reference!A:A,0),0))</f>
        <v>jerrisonchai@gmail.com</v>
      </c>
      <c r="K8" t="str">
        <f t="shared" ca="1" si="3"/>
        <v>Indonesia Summary Reports - 2025-08-26-1709</v>
      </c>
      <c r="L8" t="str">
        <f t="shared" si="4"/>
        <v>Hi, kindly refer to the attached. Thanks</v>
      </c>
    </row>
    <row r="9" spans="1:12" x14ac:dyDescent="0.25">
      <c r="A9" t="s">
        <v>60</v>
      </c>
      <c r="B9" s="54">
        <v>45307.678784722222</v>
      </c>
      <c r="C9" t="s">
        <v>61</v>
      </c>
      <c r="D9" t="s">
        <v>37</v>
      </c>
      <c r="E9" s="56" t="str">
        <f t="shared" si="0"/>
        <v>C:\Users\Jerrison Chai\Documents\02 DEMO\WorkingFile\ID</v>
      </c>
      <c r="F9" s="56" t="str">
        <f t="shared" si="1"/>
        <v>C:\Users\Jerrison Chai\Documents\02 DEMO\WorkingFile\ID\ID2023-09 Lazada Expenses Summary report (v20240116-1617).xlsx</v>
      </c>
      <c r="H9" t="str">
        <f t="shared" si="2"/>
        <v>ID</v>
      </c>
      <c r="I9" t="str">
        <f>IF(A9="","00 NOT FOUND",INDEX(Reference!B:B,MATCH(Data!H9,Reference!A:A,0),0))</f>
        <v>Indonesia</v>
      </c>
      <c r="J9" t="str">
        <f>IF(A9="","",INDEX(Reference!C:C,MATCH(Data!H9,Reference!A:A,0),0))</f>
        <v>jerrisonchai@gmail.com</v>
      </c>
      <c r="K9" t="str">
        <f t="shared" ca="1" si="3"/>
        <v>Indonesia Summary Reports - 2025-08-26-1709</v>
      </c>
      <c r="L9" t="str">
        <f t="shared" si="4"/>
        <v>Hi, kindly refer to the attached. Thanks</v>
      </c>
    </row>
    <row r="10" spans="1:12" x14ac:dyDescent="0.25">
      <c r="A10" t="s">
        <v>62</v>
      </c>
      <c r="B10" s="54">
        <v>45307.698275462964</v>
      </c>
      <c r="C10" t="s">
        <v>63</v>
      </c>
      <c r="D10" t="s">
        <v>37</v>
      </c>
      <c r="E10" s="56" t="str">
        <f t="shared" si="0"/>
        <v>C:\Users\Jerrison Chai\Documents\02 DEMO\WorkingFile\ID</v>
      </c>
      <c r="F10" s="56" t="str">
        <f t="shared" si="1"/>
        <v>C:\Users\Jerrison Chai\Documents\02 DEMO\WorkingFile\ID\ID2023-09 Zalora Transaction Report (v20240116-1645).xlsx</v>
      </c>
      <c r="H10" t="str">
        <f t="shared" si="2"/>
        <v>ID</v>
      </c>
      <c r="I10" t="str">
        <f>IF(A10="","00 NOT FOUND",INDEX(Reference!B:B,MATCH(Data!H10,Reference!A:A,0),0))</f>
        <v>Indonesia</v>
      </c>
      <c r="J10" t="str">
        <f>IF(A10="","",INDEX(Reference!C:C,MATCH(Data!H10,Reference!A:A,0),0))</f>
        <v>jerrisonchai@gmail.com</v>
      </c>
      <c r="K10" t="str">
        <f t="shared" ca="1" si="3"/>
        <v>Indonesia Summary Reports - 2025-08-26-1709</v>
      </c>
      <c r="L10" t="str">
        <f t="shared" si="4"/>
        <v>Hi, kindly refer to the attached. Thanks</v>
      </c>
    </row>
    <row r="11" spans="1:12" x14ac:dyDescent="0.25">
      <c r="A11" t="s">
        <v>64</v>
      </c>
      <c r="B11" s="54">
        <v>45307.698854166665</v>
      </c>
      <c r="C11" t="s">
        <v>65</v>
      </c>
      <c r="D11" t="s">
        <v>37</v>
      </c>
      <c r="E11" s="56" t="str">
        <f t="shared" si="0"/>
        <v>C:\Users\Jerrison Chai\Documents\02 DEMO\WorkingFile\ID</v>
      </c>
      <c r="F11" s="56" t="str">
        <f t="shared" si="1"/>
        <v>C:\Users\Jerrison Chai\Documents\02 DEMO\WorkingFile\ID\ID2023-10 Zalora Transaction Report (v20240116-1646).xlsx</v>
      </c>
      <c r="H11" t="str">
        <f t="shared" si="2"/>
        <v>ID</v>
      </c>
      <c r="I11" t="str">
        <f>IF(A11="","00 NOT FOUND",INDEX(Reference!B:B,MATCH(Data!H11,Reference!A:A,0),0))</f>
        <v>Indonesia</v>
      </c>
      <c r="J11" t="str">
        <f>IF(A11="","",INDEX(Reference!C:C,MATCH(Data!H11,Reference!A:A,0),0))</f>
        <v>jerrisonchai@gmail.com</v>
      </c>
      <c r="K11" t="str">
        <f t="shared" ca="1" si="3"/>
        <v>Indonesia Summary Reports - 2025-08-26-1709</v>
      </c>
      <c r="L11" t="str">
        <f t="shared" si="4"/>
        <v>Hi, kindly refer to the attached. Thanks</v>
      </c>
    </row>
    <row r="12" spans="1:12" x14ac:dyDescent="0.25">
      <c r="A12" t="s">
        <v>66</v>
      </c>
      <c r="B12" s="54">
        <v>45303.641643518517</v>
      </c>
      <c r="C12" t="s">
        <v>67</v>
      </c>
      <c r="D12" t="s">
        <v>37</v>
      </c>
      <c r="E12" s="56" t="str">
        <f t="shared" si="0"/>
        <v>C:\Users\Jerrison Chai\Documents\02 DEMO\WorkingFile\ID</v>
      </c>
      <c r="F12" s="56" t="str">
        <f t="shared" si="1"/>
        <v>C:\Users\Jerrison Chai\Documents\02 DEMO\WorkingFile\ID\ID2023-11 Zalora Transaction Report (v20240112-1523).xlsx</v>
      </c>
      <c r="H12" t="str">
        <f t="shared" si="2"/>
        <v>ID</v>
      </c>
      <c r="I12" t="str">
        <f>IF(A12="","00 NOT FOUND",INDEX(Reference!B:B,MATCH(Data!H12,Reference!A:A,0),0))</f>
        <v>Indonesia</v>
      </c>
      <c r="J12" t="str">
        <f>IF(A12="","",INDEX(Reference!C:C,MATCH(Data!H12,Reference!A:A,0),0))</f>
        <v>jerrisonchai@gmail.com</v>
      </c>
      <c r="K12" t="str">
        <f t="shared" ca="1" si="3"/>
        <v>Indonesia Summary Reports - 2025-08-26-1709</v>
      </c>
      <c r="L12" t="str">
        <f t="shared" si="4"/>
        <v>Hi, kindly refer to the attached. Thanks</v>
      </c>
    </row>
    <row r="13" spans="1:12" x14ac:dyDescent="0.25">
      <c r="A13" t="s">
        <v>68</v>
      </c>
      <c r="B13" s="54">
        <v>45313.678391203706</v>
      </c>
      <c r="C13" t="s">
        <v>69</v>
      </c>
      <c r="D13" t="s">
        <v>37</v>
      </c>
      <c r="E13" s="56" t="str">
        <f t="shared" si="0"/>
        <v>C:\Users\Jerrison Chai\Documents\02 DEMO\WorkingFile\MY</v>
      </c>
      <c r="F13" s="56" t="str">
        <f t="shared" si="1"/>
        <v>C:\Users\Jerrison Chai\Documents\02 DEMO\WorkingFile\MY\MY2023-07 Lazada Expenses Summary report (v20240116-1139).xlsx</v>
      </c>
      <c r="H13" t="str">
        <f t="shared" si="2"/>
        <v>MY</v>
      </c>
      <c r="I13" t="str">
        <f>IF(A13="","00 NOT FOUND",INDEX(Reference!B:B,MATCH(Data!H13,Reference!A:A,0),0))</f>
        <v>Malaysia</v>
      </c>
      <c r="J13" t="str">
        <f>IF(A13="","",INDEX(Reference!C:C,MATCH(Data!H13,Reference!A:A,0),0))</f>
        <v>jerrison.shuei@gmail.com</v>
      </c>
      <c r="K13" t="str">
        <f t="shared" ca="1" si="3"/>
        <v>Malaysia Summary Reports - 2025-08-26-1709</v>
      </c>
      <c r="L13" t="str">
        <f t="shared" si="4"/>
        <v>Hi, kindly refer to the attached. Thanks</v>
      </c>
    </row>
    <row r="14" spans="1:12" x14ac:dyDescent="0.25">
      <c r="A14" t="s">
        <v>70</v>
      </c>
      <c r="B14" s="54">
        <v>45308.633217592593</v>
      </c>
      <c r="C14" t="s">
        <v>71</v>
      </c>
      <c r="D14" t="s">
        <v>37</v>
      </c>
      <c r="E14" s="56" t="str">
        <f t="shared" si="0"/>
        <v>C:\Users\Jerrison Chai\Documents\02 DEMO\WorkingFile\MY</v>
      </c>
      <c r="F14" s="56" t="str">
        <f t="shared" si="1"/>
        <v>C:\Users\Jerrison Chai\Documents\02 DEMO\WorkingFile\MY\MY2023-07 Shopee Transaction Report (v20240117-1511).xlsx</v>
      </c>
      <c r="H14" t="str">
        <f t="shared" si="2"/>
        <v>MY</v>
      </c>
      <c r="I14" t="str">
        <f>IF(A14="","00 NOT FOUND",INDEX(Reference!B:B,MATCH(Data!H14,Reference!A:A,0),0))</f>
        <v>Malaysia</v>
      </c>
      <c r="J14" t="str">
        <f>IF(A14="","",INDEX(Reference!C:C,MATCH(Data!H14,Reference!A:A,0),0))</f>
        <v>jerrison.shuei@gmail.com</v>
      </c>
      <c r="K14" t="str">
        <f t="shared" ca="1" si="3"/>
        <v>Malaysia Summary Reports - 2025-08-26-1709</v>
      </c>
      <c r="L14" t="str">
        <f t="shared" si="4"/>
        <v>Hi, kindly refer to the attached. Thanks</v>
      </c>
    </row>
    <row r="15" spans="1:12" x14ac:dyDescent="0.25">
      <c r="A15" t="s">
        <v>72</v>
      </c>
      <c r="B15" s="54">
        <v>45307.700960648152</v>
      </c>
      <c r="C15" t="s">
        <v>73</v>
      </c>
      <c r="D15" t="s">
        <v>37</v>
      </c>
      <c r="E15" s="56" t="str">
        <f t="shared" si="0"/>
        <v>C:\Users\Jerrison Chai\Documents\02 DEMO\WorkingFile\MY</v>
      </c>
      <c r="F15" s="56" t="str">
        <f t="shared" si="1"/>
        <v>C:\Users\Jerrison Chai\Documents\02 DEMO\WorkingFile\MY\MY2023-07 Zalora Transaction Report (v20240116-1649).xlsx</v>
      </c>
      <c r="H15" t="str">
        <f t="shared" si="2"/>
        <v>MY</v>
      </c>
      <c r="I15" t="str">
        <f>IF(A15="","00 NOT FOUND",INDEX(Reference!B:B,MATCH(Data!H15,Reference!A:A,0),0))</f>
        <v>Malaysia</v>
      </c>
      <c r="J15" t="str">
        <f>IF(A15="","",INDEX(Reference!C:C,MATCH(Data!H15,Reference!A:A,0),0))</f>
        <v>jerrison.shuei@gmail.com</v>
      </c>
      <c r="K15" t="str">
        <f t="shared" ca="1" si="3"/>
        <v>Malaysia Summary Reports - 2025-08-26-1709</v>
      </c>
      <c r="L15" t="str">
        <f t="shared" si="4"/>
        <v>Hi, kindly refer to the attached. Thanks</v>
      </c>
    </row>
    <row r="16" spans="1:12" x14ac:dyDescent="0.25">
      <c r="A16" t="s">
        <v>74</v>
      </c>
      <c r="B16" s="54">
        <v>45313.725740740738</v>
      </c>
      <c r="C16" t="s">
        <v>75</v>
      </c>
      <c r="D16" t="s">
        <v>37</v>
      </c>
      <c r="E16" s="56" t="str">
        <f t="shared" si="0"/>
        <v>C:\Users\Jerrison Chai\Documents\02 DEMO\WorkingFile\MY</v>
      </c>
      <c r="F16" s="56" t="str">
        <f t="shared" si="1"/>
        <v>C:\Users\Jerrison Chai\Documents\02 DEMO\WorkingFile\MY\MY2023-08 Lazada Expenses Summary report (v20240122-1723).xlsx</v>
      </c>
      <c r="H16" t="str">
        <f t="shared" si="2"/>
        <v>MY</v>
      </c>
      <c r="I16" t="str">
        <f>IF(A16="","00 NOT FOUND",INDEX(Reference!B:B,MATCH(Data!H16,Reference!A:A,0),0))</f>
        <v>Malaysia</v>
      </c>
      <c r="J16" t="str">
        <f>IF(A16="","",INDEX(Reference!C:C,MATCH(Data!H16,Reference!A:A,0),0))</f>
        <v>jerrison.shuei@gmail.com</v>
      </c>
      <c r="K16" t="str">
        <f t="shared" ca="1" si="3"/>
        <v>Malaysia Summary Reports - 2025-08-26-1709</v>
      </c>
      <c r="L16" t="str">
        <f t="shared" si="4"/>
        <v>Hi, kindly refer to the attached. Thanks</v>
      </c>
    </row>
    <row r="17" spans="1:12" x14ac:dyDescent="0.25">
      <c r="A17" t="s">
        <v>76</v>
      </c>
      <c r="B17" s="54">
        <v>45308.63380787037</v>
      </c>
      <c r="C17" t="s">
        <v>77</v>
      </c>
      <c r="D17" t="s">
        <v>37</v>
      </c>
      <c r="E17" s="56" t="str">
        <f t="shared" si="0"/>
        <v>C:\Users\Jerrison Chai\Documents\02 DEMO\WorkingFile\MY</v>
      </c>
      <c r="F17" s="56" t="str">
        <f t="shared" si="1"/>
        <v>C:\Users\Jerrison Chai\Documents\02 DEMO\WorkingFile\MY\MY2023-08 Shopee Transaction Report (v20240117-1512).xlsx</v>
      </c>
      <c r="H17" t="str">
        <f t="shared" si="2"/>
        <v>MY</v>
      </c>
      <c r="I17" t="str">
        <f>IF(A17="","00 NOT FOUND",INDEX(Reference!B:B,MATCH(Data!H17,Reference!A:A,0),0))</f>
        <v>Malaysia</v>
      </c>
      <c r="J17" t="str">
        <f>IF(A17="","",INDEX(Reference!C:C,MATCH(Data!H17,Reference!A:A,0),0))</f>
        <v>jerrison.shuei@gmail.com</v>
      </c>
      <c r="K17" t="str">
        <f t="shared" ca="1" si="3"/>
        <v>Malaysia Summary Reports - 2025-08-26-1709</v>
      </c>
      <c r="L17" t="str">
        <f t="shared" si="4"/>
        <v>Hi, kindly refer to the attached. Thanks</v>
      </c>
    </row>
    <row r="18" spans="1:12" x14ac:dyDescent="0.25">
      <c r="A18" t="s">
        <v>78</v>
      </c>
      <c r="B18" s="54">
        <v>45307.701689814814</v>
      </c>
      <c r="C18" t="s">
        <v>79</v>
      </c>
      <c r="D18" t="s">
        <v>37</v>
      </c>
      <c r="E18" s="56" t="str">
        <f t="shared" si="0"/>
        <v>C:\Users\Jerrison Chai\Documents\02 DEMO\WorkingFile\MY</v>
      </c>
      <c r="F18" s="56" t="str">
        <f t="shared" si="1"/>
        <v>C:\Users\Jerrison Chai\Documents\02 DEMO\WorkingFile\MY\MY2023-08 Zalora Transaction Report (v20240116-1650).xlsx</v>
      </c>
      <c r="H18" t="str">
        <f t="shared" si="2"/>
        <v>MY</v>
      </c>
      <c r="I18" t="str">
        <f>IF(A18="","00 NOT FOUND",INDEX(Reference!B:B,MATCH(Data!H18,Reference!A:A,0),0))</f>
        <v>Malaysia</v>
      </c>
      <c r="J18" t="str">
        <f>IF(A18="","",INDEX(Reference!C:C,MATCH(Data!H18,Reference!A:A,0),0))</f>
        <v>jerrison.shuei@gmail.com</v>
      </c>
      <c r="K18" t="str">
        <f t="shared" ca="1" si="3"/>
        <v>Malaysia Summary Reports - 2025-08-26-1709</v>
      </c>
      <c r="L18" t="str">
        <f t="shared" si="4"/>
        <v>Hi, kindly refer to the attached. Thanks</v>
      </c>
    </row>
    <row r="19" spans="1:12" x14ac:dyDescent="0.25">
      <c r="A19" t="s">
        <v>80</v>
      </c>
      <c r="B19" s="54">
        <v>45307.487986111111</v>
      </c>
      <c r="C19" t="s">
        <v>81</v>
      </c>
      <c r="D19" t="s">
        <v>37</v>
      </c>
      <c r="E19" s="56" t="str">
        <f t="shared" si="0"/>
        <v>C:\Users\Jerrison Chai\Documents\02 DEMO\WorkingFile\MY</v>
      </c>
      <c r="F19" s="56" t="str">
        <f t="shared" si="1"/>
        <v>C:\Users\Jerrison Chai\Documents\02 DEMO\WorkingFile\MY\MY2023-09 Lazada Expenses Summary report (v20240116-1142).xlsx</v>
      </c>
      <c r="H19" t="str">
        <f t="shared" si="2"/>
        <v>MY</v>
      </c>
      <c r="I19" t="str">
        <f>IF(A19="","00 NOT FOUND",INDEX(Reference!B:B,MATCH(Data!H19,Reference!A:A,0),0))</f>
        <v>Malaysia</v>
      </c>
      <c r="J19" t="str">
        <f>IF(A19="","",INDEX(Reference!C:C,MATCH(Data!H19,Reference!A:A,0),0))</f>
        <v>jerrison.shuei@gmail.com</v>
      </c>
      <c r="K19" t="str">
        <f t="shared" ca="1" si="3"/>
        <v>Malaysia Summary Reports - 2025-08-26-1709</v>
      </c>
      <c r="L19" t="str">
        <f t="shared" si="4"/>
        <v>Hi, kindly refer to the attached. Thanks</v>
      </c>
    </row>
    <row r="20" spans="1:12" x14ac:dyDescent="0.25">
      <c r="A20" t="s">
        <v>82</v>
      </c>
      <c r="B20" s="54">
        <v>45308.634340277778</v>
      </c>
      <c r="C20" t="s">
        <v>83</v>
      </c>
      <c r="D20" t="s">
        <v>37</v>
      </c>
      <c r="E20" s="56" t="str">
        <f t="shared" si="0"/>
        <v>C:\Users\Jerrison Chai\Documents\02 DEMO\WorkingFile\MY</v>
      </c>
      <c r="F20" s="56" t="str">
        <f t="shared" si="1"/>
        <v>C:\Users\Jerrison Chai\Documents\02 DEMO\WorkingFile\MY\MY2023-09 Shopee Transaction Report (v20240117-1513).xlsx</v>
      </c>
      <c r="H20" t="str">
        <f t="shared" si="2"/>
        <v>MY</v>
      </c>
      <c r="I20" t="str">
        <f>IF(A20="","00 NOT FOUND",INDEX(Reference!B:B,MATCH(Data!H20,Reference!A:A,0),0))</f>
        <v>Malaysia</v>
      </c>
      <c r="J20" t="str">
        <f>IF(A20="","",INDEX(Reference!C:C,MATCH(Data!H20,Reference!A:A,0),0))</f>
        <v>jerrison.shuei@gmail.com</v>
      </c>
      <c r="K20" t="str">
        <f t="shared" ca="1" si="3"/>
        <v>Malaysia Summary Reports - 2025-08-26-1709</v>
      </c>
      <c r="L20" t="str">
        <f t="shared" si="4"/>
        <v>Hi, kindly refer to the attached. Thanks</v>
      </c>
    </row>
    <row r="21" spans="1:12" x14ac:dyDescent="0.25">
      <c r="A21" t="s">
        <v>84</v>
      </c>
      <c r="B21" s="54">
        <v>45307.702511574076</v>
      </c>
      <c r="C21" t="s">
        <v>85</v>
      </c>
      <c r="D21" t="s">
        <v>37</v>
      </c>
      <c r="E21" s="56" t="str">
        <f t="shared" si="0"/>
        <v>C:\Users\Jerrison Chai\Documents\02 DEMO\WorkingFile\MY</v>
      </c>
      <c r="F21" s="56" t="str">
        <f t="shared" si="1"/>
        <v>C:\Users\Jerrison Chai\Documents\02 DEMO\WorkingFile\MY\MY2023-09 Zalora Transaction Report (v20240116-1651).xlsx</v>
      </c>
      <c r="H21" t="str">
        <f t="shared" si="2"/>
        <v>MY</v>
      </c>
      <c r="I21" t="str">
        <f>IF(A21="","00 NOT FOUND",INDEX(Reference!B:B,MATCH(Data!H21,Reference!A:A,0),0))</f>
        <v>Malaysia</v>
      </c>
      <c r="J21" t="str">
        <f>IF(A21="","",INDEX(Reference!C:C,MATCH(Data!H21,Reference!A:A,0),0))</f>
        <v>jerrison.shuei@gmail.com</v>
      </c>
      <c r="K21" t="str">
        <f t="shared" ca="1" si="3"/>
        <v>Malaysia Summary Reports - 2025-08-26-1709</v>
      </c>
      <c r="L21" t="str">
        <f t="shared" si="4"/>
        <v>Hi, kindly refer to the attached. Thanks</v>
      </c>
    </row>
    <row r="22" spans="1:12" x14ac:dyDescent="0.25">
      <c r="A22" t="s">
        <v>86</v>
      </c>
      <c r="B22" s="54">
        <v>45313.732951388891</v>
      </c>
      <c r="C22" t="s">
        <v>87</v>
      </c>
      <c r="D22" t="s">
        <v>37</v>
      </c>
      <c r="E22" s="56" t="str">
        <f t="shared" si="0"/>
        <v>C:\Users\Jerrison Chai\Documents\02 DEMO\WorkingFile\MY</v>
      </c>
      <c r="F22" s="56" t="str">
        <f t="shared" si="1"/>
        <v>C:\Users\Jerrison Chai\Documents\02 DEMO\WorkingFile\MY\MY2023-10 Lazada Expenses Summary report (v20240116-1145).xlsx</v>
      </c>
      <c r="H22" t="str">
        <f t="shared" si="2"/>
        <v>MY</v>
      </c>
      <c r="I22" t="str">
        <f>IF(A22="","00 NOT FOUND",INDEX(Reference!B:B,MATCH(Data!H22,Reference!A:A,0),0))</f>
        <v>Malaysia</v>
      </c>
      <c r="J22" t="str">
        <f>IF(A22="","",INDEX(Reference!C:C,MATCH(Data!H22,Reference!A:A,0),0))</f>
        <v>jerrison.shuei@gmail.com</v>
      </c>
      <c r="K22" t="str">
        <f t="shared" ca="1" si="3"/>
        <v>Malaysia Summary Reports - 2025-08-26-1709</v>
      </c>
      <c r="L22" t="str">
        <f t="shared" si="4"/>
        <v>Hi, kindly refer to the attached. Thanks</v>
      </c>
    </row>
    <row r="23" spans="1:12" x14ac:dyDescent="0.25">
      <c r="A23" t="s">
        <v>88</v>
      </c>
      <c r="B23" s="54">
        <v>45308.63486111111</v>
      </c>
      <c r="C23" t="s">
        <v>89</v>
      </c>
      <c r="D23" t="s">
        <v>37</v>
      </c>
      <c r="E23" s="56" t="str">
        <f t="shared" si="0"/>
        <v>C:\Users\Jerrison Chai\Documents\02 DEMO\WorkingFile\MY</v>
      </c>
      <c r="F23" s="56" t="str">
        <f t="shared" si="1"/>
        <v>C:\Users\Jerrison Chai\Documents\02 DEMO\WorkingFile\MY\MY2023-10 Shopee Transaction Report (v20240117-1514).xlsx</v>
      </c>
      <c r="H23" t="str">
        <f t="shared" si="2"/>
        <v>MY</v>
      </c>
      <c r="I23" t="str">
        <f>IF(A23="","00 NOT FOUND",INDEX(Reference!B:B,MATCH(Data!H23,Reference!A:A,0),0))</f>
        <v>Malaysia</v>
      </c>
      <c r="J23" t="str">
        <f>IF(A23="","",INDEX(Reference!C:C,MATCH(Data!H23,Reference!A:A,0),0))</f>
        <v>jerrison.shuei@gmail.com</v>
      </c>
      <c r="K23" t="str">
        <f t="shared" ca="1" si="3"/>
        <v>Malaysia Summary Reports - 2025-08-26-1709</v>
      </c>
      <c r="L23" t="str">
        <f t="shared" si="4"/>
        <v>Hi, kindly refer to the attached. Thanks</v>
      </c>
    </row>
    <row r="24" spans="1:12" x14ac:dyDescent="0.25">
      <c r="A24" t="s">
        <v>90</v>
      </c>
      <c r="B24" s="54">
        <v>45307.7030787037</v>
      </c>
      <c r="C24" t="s">
        <v>91</v>
      </c>
      <c r="D24" t="s">
        <v>37</v>
      </c>
      <c r="E24" s="56" t="str">
        <f t="shared" si="0"/>
        <v>C:\Users\Jerrison Chai\Documents\02 DEMO\WorkingFile\MY</v>
      </c>
      <c r="F24" s="56" t="str">
        <f t="shared" si="1"/>
        <v>C:\Users\Jerrison Chai\Documents\02 DEMO\WorkingFile\MY\MY2023-10 Zalora Transaction Report (v20240116-1652).xlsx</v>
      </c>
      <c r="H24" t="str">
        <f t="shared" si="2"/>
        <v>MY</v>
      </c>
      <c r="I24" t="str">
        <f>IF(A24="","00 NOT FOUND",INDEX(Reference!B:B,MATCH(Data!H24,Reference!A:A,0),0))</f>
        <v>Malaysia</v>
      </c>
      <c r="J24" t="str">
        <f>IF(A24="","",INDEX(Reference!C:C,MATCH(Data!H24,Reference!A:A,0),0))</f>
        <v>jerrison.shuei@gmail.com</v>
      </c>
      <c r="K24" t="str">
        <f t="shared" ca="1" si="3"/>
        <v>Malaysia Summary Reports - 2025-08-26-1709</v>
      </c>
      <c r="L24" t="str">
        <f t="shared" si="4"/>
        <v>Hi, kindly refer to the attached. Thanks</v>
      </c>
    </row>
    <row r="25" spans="1:12" x14ac:dyDescent="0.25">
      <c r="A25" t="s">
        <v>92</v>
      </c>
      <c r="B25" s="54">
        <v>45303.399409722224</v>
      </c>
      <c r="C25" t="s">
        <v>93</v>
      </c>
      <c r="D25" t="s">
        <v>37</v>
      </c>
      <c r="E25" s="56" t="str">
        <f t="shared" si="0"/>
        <v>C:\Users\Jerrison Chai\Documents\02 DEMO\WorkingFile\MY</v>
      </c>
      <c r="F25" s="56" t="str">
        <f t="shared" si="1"/>
        <v>C:\Users\Jerrison Chai\Documents\02 DEMO\WorkingFile\MY\MY2023-11 Lazada Expenses Summary report (v20240112-0935).xlsx</v>
      </c>
      <c r="H25" t="str">
        <f t="shared" si="2"/>
        <v>MY</v>
      </c>
      <c r="I25" t="str">
        <f>IF(A25="","00 NOT FOUND",INDEX(Reference!B:B,MATCH(Data!H25,Reference!A:A,0),0))</f>
        <v>Malaysia</v>
      </c>
      <c r="J25" t="str">
        <f>IF(A25="","",INDEX(Reference!C:C,MATCH(Data!H25,Reference!A:A,0),0))</f>
        <v>jerrison.shuei@gmail.com</v>
      </c>
      <c r="K25" t="str">
        <f t="shared" ca="1" si="3"/>
        <v>Malaysia Summary Reports - 2025-08-26-1709</v>
      </c>
      <c r="L25" t="str">
        <f t="shared" si="4"/>
        <v>Hi, kindly refer to the attached. Thanks</v>
      </c>
    </row>
    <row r="26" spans="1:12" x14ac:dyDescent="0.25">
      <c r="A26" t="s">
        <v>94</v>
      </c>
      <c r="B26" s="54">
        <v>45303.611689814818</v>
      </c>
      <c r="C26" t="s">
        <v>95</v>
      </c>
      <c r="D26" t="s">
        <v>37</v>
      </c>
      <c r="E26" s="56" t="str">
        <f t="shared" si="0"/>
        <v>C:\Users\Jerrison Chai\Documents\02 DEMO\WorkingFile\MY</v>
      </c>
      <c r="F26" s="56" t="str">
        <f t="shared" si="1"/>
        <v>C:\Users\Jerrison Chai\Documents\02 DEMO\WorkingFile\MY\MY2023-11 Shopee Transaction Report (v20240112-1440).xlsx</v>
      </c>
      <c r="H26" t="str">
        <f t="shared" si="2"/>
        <v>MY</v>
      </c>
      <c r="I26" t="str">
        <f>IF(A26="","00 NOT FOUND",INDEX(Reference!B:B,MATCH(Data!H26,Reference!A:A,0),0))</f>
        <v>Malaysia</v>
      </c>
      <c r="J26" t="str">
        <f>IF(A26="","",INDEX(Reference!C:C,MATCH(Data!H26,Reference!A:A,0),0))</f>
        <v>jerrison.shuei@gmail.com</v>
      </c>
      <c r="K26" t="str">
        <f t="shared" ca="1" si="3"/>
        <v>Malaysia Summary Reports - 2025-08-26-1709</v>
      </c>
      <c r="L26" t="str">
        <f t="shared" si="4"/>
        <v>Hi, kindly refer to the attached. Thanks</v>
      </c>
    </row>
    <row r="27" spans="1:12" x14ac:dyDescent="0.25">
      <c r="A27" t="s">
        <v>96</v>
      </c>
      <c r="B27" s="54">
        <v>45303.646249999998</v>
      </c>
      <c r="C27" t="s">
        <v>97</v>
      </c>
      <c r="D27" t="s">
        <v>37</v>
      </c>
      <c r="E27" s="56" t="str">
        <f t="shared" si="0"/>
        <v>C:\Users\Jerrison Chai\Documents\02 DEMO\WorkingFile\MY</v>
      </c>
      <c r="F27" s="56" t="str">
        <f t="shared" si="1"/>
        <v>C:\Users\Jerrison Chai\Documents\02 DEMO\WorkingFile\MY\MY2023-11 Zalora Transaction Report (v20240112-1530).xlsx</v>
      </c>
      <c r="H27" t="str">
        <f t="shared" si="2"/>
        <v>MY</v>
      </c>
      <c r="I27" t="str">
        <f>IF(A27="","00 NOT FOUND",INDEX(Reference!B:B,MATCH(Data!H27,Reference!A:A,0),0))</f>
        <v>Malaysia</v>
      </c>
      <c r="J27" t="str">
        <f>IF(A27="","",INDEX(Reference!C:C,MATCH(Data!H27,Reference!A:A,0),0))</f>
        <v>jerrison.shuei@gmail.com</v>
      </c>
      <c r="K27" t="str">
        <f t="shared" ca="1" si="3"/>
        <v>Malaysia Summary Reports - 2025-08-26-1709</v>
      </c>
      <c r="L27" t="str">
        <f t="shared" si="4"/>
        <v>Hi, kindly refer to the attached. Thanks</v>
      </c>
    </row>
    <row r="28" spans="1:12" x14ac:dyDescent="0.25">
      <c r="A28" t="s">
        <v>98</v>
      </c>
      <c r="B28" s="54">
        <v>45307.644328703704</v>
      </c>
      <c r="C28" t="s">
        <v>99</v>
      </c>
      <c r="D28" t="s">
        <v>37</v>
      </c>
      <c r="E28" s="56" t="str">
        <f t="shared" si="0"/>
        <v>C:\Users\Jerrison Chai\Documents\02 DEMO\WorkingFile\PH</v>
      </c>
      <c r="F28" s="56" t="str">
        <f t="shared" si="1"/>
        <v>C:\Users\Jerrison Chai\Documents\02 DEMO\WorkingFile\PH\PH2023-07 Lazada Expenses Summary report (v20240116-1527).xlsx</v>
      </c>
      <c r="H28" t="str">
        <f t="shared" si="2"/>
        <v>PH</v>
      </c>
      <c r="I28" t="str">
        <f>IF(A28="","00 NOT FOUND",INDEX(Reference!B:B,MATCH(Data!H28,Reference!A:A,0),0))</f>
        <v>Philippines</v>
      </c>
      <c r="J28" t="str">
        <f>IF(A28="","",INDEX(Reference!C:C,MATCH(Data!H28,Reference!A:A,0),0))</f>
        <v>jerrison.shuei@gmail.com</v>
      </c>
      <c r="K28" t="str">
        <f t="shared" ca="1" si="3"/>
        <v>Philippines Summary Reports - 2025-08-26-1709</v>
      </c>
      <c r="L28" t="str">
        <f t="shared" si="4"/>
        <v>Hi, kindly refer to the attached. Thanks</v>
      </c>
    </row>
    <row r="29" spans="1:12" x14ac:dyDescent="0.25">
      <c r="A29" t="s">
        <v>100</v>
      </c>
      <c r="B29" s="54">
        <v>45308.637141203704</v>
      </c>
      <c r="C29" t="s">
        <v>101</v>
      </c>
      <c r="D29" t="s">
        <v>37</v>
      </c>
      <c r="E29" s="56" t="str">
        <f t="shared" si="0"/>
        <v>C:\Users\Jerrison Chai\Documents\02 DEMO\WorkingFile\PH</v>
      </c>
      <c r="F29" s="56" t="str">
        <f t="shared" si="1"/>
        <v>C:\Users\Jerrison Chai\Documents\02 DEMO\WorkingFile\PH\PH2023-07 Shopee Transaction Report (v20240117-1517).xlsx</v>
      </c>
      <c r="H29" t="str">
        <f t="shared" si="2"/>
        <v>PH</v>
      </c>
      <c r="I29" t="str">
        <f>IF(A29="","00 NOT FOUND",INDEX(Reference!B:B,MATCH(Data!H29,Reference!A:A,0),0))</f>
        <v>Philippines</v>
      </c>
      <c r="J29" t="str">
        <f>IF(A29="","",INDEX(Reference!C:C,MATCH(Data!H29,Reference!A:A,0),0))</f>
        <v>jerrison.shuei@gmail.com</v>
      </c>
      <c r="K29" t="str">
        <f t="shared" ca="1" si="3"/>
        <v>Philippines Summary Reports - 2025-08-26-1709</v>
      </c>
      <c r="L29" t="str">
        <f t="shared" si="4"/>
        <v>Hi, kindly refer to the attached. Thanks</v>
      </c>
    </row>
    <row r="30" spans="1:12" x14ac:dyDescent="0.25">
      <c r="A30" t="s">
        <v>102</v>
      </c>
      <c r="B30" s="54">
        <v>45307.644953703704</v>
      </c>
      <c r="C30" t="s">
        <v>103</v>
      </c>
      <c r="D30" t="s">
        <v>37</v>
      </c>
      <c r="E30" s="56" t="str">
        <f t="shared" si="0"/>
        <v>C:\Users\Jerrison Chai\Documents\02 DEMO\WorkingFile\PH</v>
      </c>
      <c r="F30" s="56" t="str">
        <f t="shared" si="1"/>
        <v>C:\Users\Jerrison Chai\Documents\02 DEMO\WorkingFile\PH\PH2023-08 Lazada Expenses Summary report (v20240116-1528).xlsx</v>
      </c>
      <c r="H30" t="str">
        <f t="shared" si="2"/>
        <v>PH</v>
      </c>
      <c r="I30" t="str">
        <f>IF(A30="","00 NOT FOUND",INDEX(Reference!B:B,MATCH(Data!H30,Reference!A:A,0),0))</f>
        <v>Philippines</v>
      </c>
      <c r="J30" t="str">
        <f>IF(A30="","",INDEX(Reference!C:C,MATCH(Data!H30,Reference!A:A,0),0))</f>
        <v>jerrison.shuei@gmail.com</v>
      </c>
      <c r="K30" t="str">
        <f t="shared" ca="1" si="3"/>
        <v>Philippines Summary Reports - 2025-08-26-1709</v>
      </c>
      <c r="L30" t="str">
        <f t="shared" si="4"/>
        <v>Hi, kindly refer to the attached. Thanks</v>
      </c>
    </row>
    <row r="31" spans="1:12" x14ac:dyDescent="0.25">
      <c r="A31" t="s">
        <v>104</v>
      </c>
      <c r="B31" s="54">
        <v>45315.644999999997</v>
      </c>
      <c r="C31" t="s">
        <v>105</v>
      </c>
      <c r="D31" t="s">
        <v>37</v>
      </c>
      <c r="E31" s="56" t="str">
        <f t="shared" si="0"/>
        <v>C:\Users\Jerrison Chai\Documents\02 DEMO\WorkingFile\PH</v>
      </c>
      <c r="F31" s="56" t="str">
        <f t="shared" si="1"/>
        <v>C:\Users\Jerrison Chai\Documents\02 DEMO\WorkingFile\PH\PH2023-08 Shopee Transaction Report (v20240124-1528).xlsx</v>
      </c>
      <c r="H31" t="str">
        <f t="shared" si="2"/>
        <v>PH</v>
      </c>
      <c r="I31" t="str">
        <f>IF(A31="","00 NOT FOUND",INDEX(Reference!B:B,MATCH(Data!H31,Reference!A:A,0),0))</f>
        <v>Philippines</v>
      </c>
      <c r="J31" t="str">
        <f>IF(A31="","",INDEX(Reference!C:C,MATCH(Data!H31,Reference!A:A,0),0))</f>
        <v>jerrison.shuei@gmail.com</v>
      </c>
      <c r="K31" t="str">
        <f t="shared" ca="1" si="3"/>
        <v>Philippines Summary Reports - 2025-08-26-1709</v>
      </c>
      <c r="L31" t="str">
        <f t="shared" si="4"/>
        <v>Hi, kindly refer to the attached. Thanks</v>
      </c>
    </row>
    <row r="32" spans="1:12" x14ac:dyDescent="0.25">
      <c r="A32" t="s">
        <v>106</v>
      </c>
      <c r="B32" s="54">
        <v>45307.64571759259</v>
      </c>
      <c r="C32" t="s">
        <v>107</v>
      </c>
      <c r="D32" t="s">
        <v>37</v>
      </c>
      <c r="E32" s="56" t="str">
        <f t="shared" si="0"/>
        <v>C:\Users\Jerrison Chai\Documents\02 DEMO\WorkingFile\PH</v>
      </c>
      <c r="F32" s="56" t="str">
        <f t="shared" si="1"/>
        <v>C:\Users\Jerrison Chai\Documents\02 DEMO\WorkingFile\PH\PH2023-09 Lazada Expenses Summary report (v20240116-1529).xlsx</v>
      </c>
      <c r="H32" t="str">
        <f t="shared" si="2"/>
        <v>PH</v>
      </c>
      <c r="I32" t="str">
        <f>IF(A32="","00 NOT FOUND",INDEX(Reference!B:B,MATCH(Data!H32,Reference!A:A,0),0))</f>
        <v>Philippines</v>
      </c>
      <c r="J32" t="str">
        <f>IF(A32="","",INDEX(Reference!C:C,MATCH(Data!H32,Reference!A:A,0),0))</f>
        <v>jerrison.shuei@gmail.com</v>
      </c>
      <c r="K32" t="str">
        <f t="shared" ca="1" si="3"/>
        <v>Philippines Summary Reports - 2025-08-26-1709</v>
      </c>
      <c r="L32" t="str">
        <f t="shared" si="4"/>
        <v>Hi, kindly refer to the attached. Thanks</v>
      </c>
    </row>
    <row r="33" spans="1:12" x14ac:dyDescent="0.25">
      <c r="A33" t="s">
        <v>108</v>
      </c>
      <c r="B33" s="54">
        <v>45308.638692129629</v>
      </c>
      <c r="C33" t="s">
        <v>109</v>
      </c>
      <c r="D33" t="s">
        <v>37</v>
      </c>
      <c r="E33" s="56" t="str">
        <f t="shared" si="0"/>
        <v>C:\Users\Jerrison Chai\Documents\02 DEMO\WorkingFile\PH</v>
      </c>
      <c r="F33" s="56" t="str">
        <f t="shared" si="1"/>
        <v>C:\Users\Jerrison Chai\Documents\02 DEMO\WorkingFile\PH\PH2023-09 Shopee Transaction Report (v20240117-1519).xlsx</v>
      </c>
      <c r="H33" t="str">
        <f t="shared" si="2"/>
        <v>PH</v>
      </c>
      <c r="I33" t="str">
        <f>IF(A33="","00 NOT FOUND",INDEX(Reference!B:B,MATCH(Data!H33,Reference!A:A,0),0))</f>
        <v>Philippines</v>
      </c>
      <c r="J33" t="str">
        <f>IF(A33="","",INDEX(Reference!C:C,MATCH(Data!H33,Reference!A:A,0),0))</f>
        <v>jerrison.shuei@gmail.com</v>
      </c>
      <c r="K33" t="str">
        <f t="shared" ca="1" si="3"/>
        <v>Philippines Summary Reports - 2025-08-26-1709</v>
      </c>
      <c r="L33" t="str">
        <f t="shared" si="4"/>
        <v>Hi, kindly refer to the attached. Thanks</v>
      </c>
    </row>
    <row r="34" spans="1:12" x14ac:dyDescent="0.25">
      <c r="A34" t="s">
        <v>110</v>
      </c>
      <c r="B34" s="54">
        <v>45307.646585648145</v>
      </c>
      <c r="C34" t="s">
        <v>111</v>
      </c>
      <c r="D34" t="s">
        <v>37</v>
      </c>
      <c r="E34" s="56" t="str">
        <f t="shared" si="0"/>
        <v>C:\Users\Jerrison Chai\Documents\02 DEMO\WorkingFile\PH</v>
      </c>
      <c r="F34" s="56" t="str">
        <f t="shared" si="1"/>
        <v>C:\Users\Jerrison Chai\Documents\02 DEMO\WorkingFile\PH\PH2023-10 Lazada Expenses Summary report (v20240116-1531).xlsx</v>
      </c>
      <c r="H34" t="str">
        <f t="shared" si="2"/>
        <v>PH</v>
      </c>
      <c r="I34" t="str">
        <f>IF(A34="","00 NOT FOUND",INDEX(Reference!B:B,MATCH(Data!H34,Reference!A:A,0),0))</f>
        <v>Philippines</v>
      </c>
      <c r="J34" t="str">
        <f>IF(A34="","",INDEX(Reference!C:C,MATCH(Data!H34,Reference!A:A,0),0))</f>
        <v>jerrison.shuei@gmail.com</v>
      </c>
      <c r="K34" t="str">
        <f t="shared" ca="1" si="3"/>
        <v>Philippines Summary Reports - 2025-08-26-1709</v>
      </c>
      <c r="L34" t="str">
        <f t="shared" si="4"/>
        <v>Hi, kindly refer to the attached. Thanks</v>
      </c>
    </row>
    <row r="35" spans="1:12" x14ac:dyDescent="0.25">
      <c r="A35" t="s">
        <v>112</v>
      </c>
      <c r="B35" s="54">
        <v>45308.639270833337</v>
      </c>
      <c r="C35" t="s">
        <v>113</v>
      </c>
      <c r="D35" t="s">
        <v>37</v>
      </c>
      <c r="E35" s="56" t="str">
        <f t="shared" si="0"/>
        <v>C:\Users\Jerrison Chai\Documents\02 DEMO\WorkingFile\PH</v>
      </c>
      <c r="F35" s="56" t="str">
        <f t="shared" si="1"/>
        <v>C:\Users\Jerrison Chai\Documents\02 DEMO\WorkingFile\PH\PH2023-10 Shopee Transaction Report (v20240117-1520).xlsx</v>
      </c>
      <c r="H35" t="str">
        <f t="shared" si="2"/>
        <v>PH</v>
      </c>
      <c r="I35" t="str">
        <f>IF(A35="","00 NOT FOUND",INDEX(Reference!B:B,MATCH(Data!H35,Reference!A:A,0),0))</f>
        <v>Philippines</v>
      </c>
      <c r="J35" t="str">
        <f>IF(A35="","",INDEX(Reference!C:C,MATCH(Data!H35,Reference!A:A,0),0))</f>
        <v>jerrison.shuei@gmail.com</v>
      </c>
      <c r="K35" t="str">
        <f t="shared" ca="1" si="3"/>
        <v>Philippines Summary Reports - 2025-08-26-1709</v>
      </c>
      <c r="L35" t="str">
        <f t="shared" si="4"/>
        <v>Hi, kindly refer to the attached. Thanks</v>
      </c>
    </row>
    <row r="36" spans="1:12" x14ac:dyDescent="0.25">
      <c r="A36" t="s">
        <v>114</v>
      </c>
      <c r="B36" s="54">
        <v>45303.502881944441</v>
      </c>
      <c r="C36" t="s">
        <v>115</v>
      </c>
      <c r="D36" t="s">
        <v>37</v>
      </c>
      <c r="E36" s="56" t="str">
        <f t="shared" si="0"/>
        <v>C:\Users\Jerrison Chai\Documents\02 DEMO\WorkingFile\PH</v>
      </c>
      <c r="F36" s="56" t="str">
        <f t="shared" si="1"/>
        <v>C:\Users\Jerrison Chai\Documents\02 DEMO\WorkingFile\PH\PH2023-11 Lazada Expenses Summary report (v20240112-1204).xlsx</v>
      </c>
      <c r="H36" t="str">
        <f t="shared" si="2"/>
        <v>PH</v>
      </c>
      <c r="I36" t="str">
        <f>IF(A36="","00 NOT FOUND",INDEX(Reference!B:B,MATCH(Data!H36,Reference!A:A,0),0))</f>
        <v>Philippines</v>
      </c>
      <c r="J36" t="str">
        <f>IF(A36="","",INDEX(Reference!C:C,MATCH(Data!H36,Reference!A:A,0),0))</f>
        <v>jerrison.shuei@gmail.com</v>
      </c>
      <c r="K36" t="str">
        <f t="shared" ca="1" si="3"/>
        <v>Philippines Summary Reports - 2025-08-26-1709</v>
      </c>
      <c r="L36" t="str">
        <f t="shared" si="4"/>
        <v>Hi, kindly refer to the attached. Thanks</v>
      </c>
    </row>
    <row r="37" spans="1:12" x14ac:dyDescent="0.25">
      <c r="A37" t="s">
        <v>116</v>
      </c>
      <c r="B37" s="54">
        <v>45303.617280092592</v>
      </c>
      <c r="C37" t="s">
        <v>117</v>
      </c>
      <c r="D37" t="s">
        <v>37</v>
      </c>
      <c r="E37" s="56" t="str">
        <f t="shared" si="0"/>
        <v>C:\Users\Jerrison Chai\Documents\02 DEMO\WorkingFile\PH</v>
      </c>
      <c r="F37" s="56" t="str">
        <f t="shared" si="1"/>
        <v>C:\Users\Jerrison Chai\Documents\02 DEMO\WorkingFile\PH\PH2023-11 Shopee Transaction Report (v20240112-1448).xlsx</v>
      </c>
      <c r="H37" t="str">
        <f t="shared" si="2"/>
        <v>PH</v>
      </c>
      <c r="I37" t="str">
        <f>IF(A37="","00 NOT FOUND",INDEX(Reference!B:B,MATCH(Data!H37,Reference!A:A,0),0))</f>
        <v>Philippines</v>
      </c>
      <c r="J37" t="str">
        <f>IF(A37="","",INDEX(Reference!C:C,MATCH(Data!H37,Reference!A:A,0),0))</f>
        <v>jerrison.shuei@gmail.com</v>
      </c>
      <c r="K37" t="str">
        <f t="shared" ca="1" si="3"/>
        <v>Philippines Summary Reports - 2025-08-26-1709</v>
      </c>
      <c r="L37" t="str">
        <f t="shared" si="4"/>
        <v>Hi, kindly refer to the attached. Thanks</v>
      </c>
    </row>
    <row r="38" spans="1:12" x14ac:dyDescent="0.25">
      <c r="A38" t="s">
        <v>118</v>
      </c>
      <c r="B38" s="54">
        <v>45303.648761574077</v>
      </c>
      <c r="C38" t="s">
        <v>119</v>
      </c>
      <c r="D38" t="s">
        <v>37</v>
      </c>
      <c r="E38" s="56" t="str">
        <f t="shared" si="0"/>
        <v>C:\Users\Jerrison Chai\Documents\02 DEMO\WorkingFile\PH</v>
      </c>
      <c r="F38" s="56" t="str">
        <f t="shared" si="1"/>
        <v>C:\Users\Jerrison Chai\Documents\02 DEMO\WorkingFile\PH\PH2023-11 Zalora Transaction Report (v20240112-1534).xlsx</v>
      </c>
      <c r="H38" t="str">
        <f t="shared" si="2"/>
        <v>PH</v>
      </c>
      <c r="I38" t="str">
        <f>IF(A38="","00 NOT FOUND",INDEX(Reference!B:B,MATCH(Data!H38,Reference!A:A,0),0))</f>
        <v>Philippines</v>
      </c>
      <c r="J38" t="str">
        <f>IF(A38="","",INDEX(Reference!C:C,MATCH(Data!H38,Reference!A:A,0),0))</f>
        <v>jerrison.shuei@gmail.com</v>
      </c>
      <c r="K38" t="str">
        <f t="shared" ca="1" si="3"/>
        <v>Philippines Summary Reports - 2025-08-26-1709</v>
      </c>
      <c r="L38" t="str">
        <f t="shared" si="4"/>
        <v>Hi, kindly refer to the attached. Thanks</v>
      </c>
    </row>
    <row r="39" spans="1:12" x14ac:dyDescent="0.25">
      <c r="A39" t="s">
        <v>120</v>
      </c>
      <c r="B39" s="54">
        <v>45307.659143518518</v>
      </c>
      <c r="C39" t="s">
        <v>121</v>
      </c>
      <c r="D39" t="s">
        <v>37</v>
      </c>
      <c r="E39" s="56" t="str">
        <f t="shared" si="0"/>
        <v>C:\Users\Jerrison Chai\Documents\02 DEMO\WorkingFile\SG</v>
      </c>
      <c r="F39" s="56" t="str">
        <f t="shared" si="1"/>
        <v>C:\Users\Jerrison Chai\Documents\02 DEMO\WorkingFile\SG\SG2023-07 Lazada Expenses Summary report (v20240116-1549).xlsx</v>
      </c>
      <c r="H39" t="str">
        <f t="shared" si="2"/>
        <v>SG</v>
      </c>
      <c r="I39" t="str">
        <f>IF(A39="","00 NOT FOUND",INDEX(Reference!B:B,MATCH(Data!H39,Reference!A:A,0),0))</f>
        <v>Singapore</v>
      </c>
      <c r="J39" t="str">
        <f>IF(A39="","",INDEX(Reference!C:C,MATCH(Data!H39,Reference!A:A,0),0))</f>
        <v>jerrisonchai@gmail.com</v>
      </c>
      <c r="K39" t="str">
        <f t="shared" ca="1" si="3"/>
        <v>Singapore Summary Reports - 2025-08-26-1709</v>
      </c>
      <c r="L39" t="str">
        <f t="shared" si="4"/>
        <v>Hi, kindly refer to the attached. Thanks</v>
      </c>
    </row>
    <row r="40" spans="1:12" x14ac:dyDescent="0.25">
      <c r="A40" t="s">
        <v>122</v>
      </c>
      <c r="B40" s="54">
        <v>45308.643252314818</v>
      </c>
      <c r="C40" t="s">
        <v>123</v>
      </c>
      <c r="D40" t="s">
        <v>37</v>
      </c>
      <c r="E40" s="56" t="str">
        <f t="shared" si="0"/>
        <v>C:\Users\Jerrison Chai\Documents\02 DEMO\WorkingFile\SG</v>
      </c>
      <c r="F40" s="56" t="str">
        <f t="shared" si="1"/>
        <v>C:\Users\Jerrison Chai\Documents\02 DEMO\WorkingFile\SG\SG2023-07 Shopee Transaction Report (v20240117-1526).xlsx</v>
      </c>
      <c r="H40" t="str">
        <f t="shared" si="2"/>
        <v>SG</v>
      </c>
      <c r="I40" t="str">
        <f>IF(A40="","00 NOT FOUND",INDEX(Reference!B:B,MATCH(Data!H40,Reference!A:A,0),0))</f>
        <v>Singapore</v>
      </c>
      <c r="J40" t="str">
        <f>IF(A40="","",INDEX(Reference!C:C,MATCH(Data!H40,Reference!A:A,0),0))</f>
        <v>jerrisonchai@gmail.com</v>
      </c>
      <c r="K40" t="str">
        <f t="shared" ca="1" si="3"/>
        <v>Singapore Summary Reports - 2025-08-26-1709</v>
      </c>
      <c r="L40" t="str">
        <f t="shared" si="4"/>
        <v>Hi, kindly refer to the attached. Thanks</v>
      </c>
    </row>
    <row r="41" spans="1:12" x14ac:dyDescent="0.25">
      <c r="A41" t="s">
        <v>124</v>
      </c>
      <c r="B41" s="54">
        <v>45307.707743055558</v>
      </c>
      <c r="C41" t="s">
        <v>125</v>
      </c>
      <c r="D41" t="s">
        <v>37</v>
      </c>
      <c r="E41" s="56" t="str">
        <f t="shared" si="0"/>
        <v>C:\Users\Jerrison Chai\Documents\02 DEMO\WorkingFile\SG</v>
      </c>
      <c r="F41" s="56" t="str">
        <f t="shared" si="1"/>
        <v>C:\Users\Jerrison Chai\Documents\02 DEMO\WorkingFile\SG\SG2023-07 Zalora Transaction Report (v20240116-1659).xlsx</v>
      </c>
      <c r="H41" t="str">
        <f t="shared" si="2"/>
        <v>SG</v>
      </c>
      <c r="I41" t="str">
        <f>IF(A41="","00 NOT FOUND",INDEX(Reference!B:B,MATCH(Data!H41,Reference!A:A,0),0))</f>
        <v>Singapore</v>
      </c>
      <c r="J41" t="str">
        <f>IF(A41="","",INDEX(Reference!C:C,MATCH(Data!H41,Reference!A:A,0),0))</f>
        <v>jerrisonchai@gmail.com</v>
      </c>
      <c r="K41" t="str">
        <f t="shared" ca="1" si="3"/>
        <v>Singapore Summary Reports - 2025-08-26-1709</v>
      </c>
      <c r="L41" t="str">
        <f t="shared" si="4"/>
        <v>Hi, kindly refer to the attached. Thanks</v>
      </c>
    </row>
    <row r="42" spans="1:12" x14ac:dyDescent="0.25">
      <c r="A42" t="s">
        <v>126</v>
      </c>
      <c r="B42" s="54">
        <v>45307.660740740743</v>
      </c>
      <c r="C42" t="s">
        <v>127</v>
      </c>
      <c r="D42" t="s">
        <v>37</v>
      </c>
      <c r="E42" s="56" t="str">
        <f t="shared" si="0"/>
        <v>C:\Users\Jerrison Chai\Documents\02 DEMO\WorkingFile\SG</v>
      </c>
      <c r="F42" s="56" t="str">
        <f t="shared" si="1"/>
        <v>C:\Users\Jerrison Chai\Documents\02 DEMO\WorkingFile\SG\SG2023-08 Lazada Expenses Summary report (v20240116-1551).xlsx</v>
      </c>
      <c r="H42" t="str">
        <f t="shared" si="2"/>
        <v>SG</v>
      </c>
      <c r="I42" t="str">
        <f>IF(A42="","00 NOT FOUND",INDEX(Reference!B:B,MATCH(Data!H42,Reference!A:A,0),0))</f>
        <v>Singapore</v>
      </c>
      <c r="J42" t="str">
        <f>IF(A42="","",INDEX(Reference!C:C,MATCH(Data!H42,Reference!A:A,0),0))</f>
        <v>jerrisonchai@gmail.com</v>
      </c>
      <c r="K42" t="str">
        <f t="shared" ca="1" si="3"/>
        <v>Singapore Summary Reports - 2025-08-26-1709</v>
      </c>
      <c r="L42" t="str">
        <f t="shared" si="4"/>
        <v>Hi, kindly refer to the attached. Thanks</v>
      </c>
    </row>
    <row r="43" spans="1:12" x14ac:dyDescent="0.25">
      <c r="A43" t="s">
        <v>128</v>
      </c>
      <c r="B43" s="54">
        <v>45308.644652777781</v>
      </c>
      <c r="C43" t="s">
        <v>129</v>
      </c>
      <c r="D43" t="s">
        <v>37</v>
      </c>
      <c r="E43" s="56" t="str">
        <f t="shared" si="0"/>
        <v>C:\Users\Jerrison Chai\Documents\02 DEMO\WorkingFile\SG</v>
      </c>
      <c r="F43" s="56" t="str">
        <f t="shared" si="1"/>
        <v>C:\Users\Jerrison Chai\Documents\02 DEMO\WorkingFile\SG\SG2023-08 Shopee Transaction Report (v20240117-1528).xlsx</v>
      </c>
      <c r="H43" t="str">
        <f t="shared" si="2"/>
        <v>SG</v>
      </c>
      <c r="I43" t="str">
        <f>IF(A43="","00 NOT FOUND",INDEX(Reference!B:B,MATCH(Data!H43,Reference!A:A,0),0))</f>
        <v>Singapore</v>
      </c>
      <c r="J43" t="str">
        <f>IF(A43="","",INDEX(Reference!C:C,MATCH(Data!H43,Reference!A:A,0),0))</f>
        <v>jerrisonchai@gmail.com</v>
      </c>
      <c r="K43" t="str">
        <f t="shared" ca="1" si="3"/>
        <v>Singapore Summary Reports - 2025-08-26-1709</v>
      </c>
      <c r="L43" t="str">
        <f t="shared" si="4"/>
        <v>Hi, kindly refer to the attached. Thanks</v>
      </c>
    </row>
    <row r="44" spans="1:12" x14ac:dyDescent="0.25">
      <c r="A44" t="s">
        <v>130</v>
      </c>
      <c r="B44" s="54">
        <v>45307.713645833333</v>
      </c>
      <c r="C44" t="s">
        <v>131</v>
      </c>
      <c r="D44" t="s">
        <v>37</v>
      </c>
      <c r="E44" s="56" t="str">
        <f t="shared" si="0"/>
        <v>C:\Users\Jerrison Chai\Documents\02 DEMO\WorkingFile\SG</v>
      </c>
      <c r="F44" s="56" t="str">
        <f t="shared" si="1"/>
        <v>C:\Users\Jerrison Chai\Documents\02 DEMO\WorkingFile\SG\SG2023-08 Zalora Transaction Report (v20240116-1707).xlsx</v>
      </c>
      <c r="H44" t="str">
        <f t="shared" si="2"/>
        <v>SG</v>
      </c>
      <c r="I44" t="str">
        <f>IF(A44="","00 NOT FOUND",INDEX(Reference!B:B,MATCH(Data!H44,Reference!A:A,0),0))</f>
        <v>Singapore</v>
      </c>
      <c r="J44" t="str">
        <f>IF(A44="","",INDEX(Reference!C:C,MATCH(Data!H44,Reference!A:A,0),0))</f>
        <v>jerrisonchai@gmail.com</v>
      </c>
      <c r="K44" t="str">
        <f t="shared" ca="1" si="3"/>
        <v>Singapore Summary Reports - 2025-08-26-1709</v>
      </c>
      <c r="L44" t="str">
        <f t="shared" si="4"/>
        <v>Hi, kindly refer to the attached. Thanks</v>
      </c>
    </row>
    <row r="45" spans="1:12" x14ac:dyDescent="0.25">
      <c r="A45" t="s">
        <v>132</v>
      </c>
      <c r="B45" s="54">
        <v>45307.66238425926</v>
      </c>
      <c r="C45" t="s">
        <v>133</v>
      </c>
      <c r="D45" t="s">
        <v>37</v>
      </c>
      <c r="E45" s="56" t="str">
        <f t="shared" si="0"/>
        <v>C:\Users\Jerrison Chai\Documents\02 DEMO\WorkingFile\SG</v>
      </c>
      <c r="F45" s="56" t="str">
        <f t="shared" si="1"/>
        <v>C:\Users\Jerrison Chai\Documents\02 DEMO\WorkingFile\SG\SG2023-09 Lazada Expenses Summary report (v20240116-1553).xlsx</v>
      </c>
      <c r="H45" t="str">
        <f t="shared" si="2"/>
        <v>SG</v>
      </c>
      <c r="I45" t="str">
        <f>IF(A45="","00 NOT FOUND",INDEX(Reference!B:B,MATCH(Data!H45,Reference!A:A,0),0))</f>
        <v>Singapore</v>
      </c>
      <c r="J45" t="str">
        <f>IF(A45="","",INDEX(Reference!C:C,MATCH(Data!H45,Reference!A:A,0),0))</f>
        <v>jerrisonchai@gmail.com</v>
      </c>
      <c r="K45" t="str">
        <f t="shared" ca="1" si="3"/>
        <v>Singapore Summary Reports - 2025-08-26-1709</v>
      </c>
      <c r="L45" t="str">
        <f t="shared" si="4"/>
        <v>Hi, kindly refer to the attached. Thanks</v>
      </c>
    </row>
    <row r="46" spans="1:12" x14ac:dyDescent="0.25">
      <c r="A46" t="s">
        <v>134</v>
      </c>
      <c r="B46" s="54">
        <v>45308.645266203705</v>
      </c>
      <c r="C46" t="s">
        <v>135</v>
      </c>
      <c r="D46" t="s">
        <v>37</v>
      </c>
      <c r="E46" s="56" t="str">
        <f t="shared" si="0"/>
        <v>C:\Users\Jerrison Chai\Documents\02 DEMO\WorkingFile\SG</v>
      </c>
      <c r="F46" s="56" t="str">
        <f t="shared" si="1"/>
        <v>C:\Users\Jerrison Chai\Documents\02 DEMO\WorkingFile\SG\SG2023-09 Shopee Transaction Report (v20240117-1529).xlsx</v>
      </c>
      <c r="H46" t="str">
        <f t="shared" si="2"/>
        <v>SG</v>
      </c>
      <c r="I46" t="str">
        <f>IF(A46="","00 NOT FOUND",INDEX(Reference!B:B,MATCH(Data!H46,Reference!A:A,0),0))</f>
        <v>Singapore</v>
      </c>
      <c r="J46" t="str">
        <f>IF(A46="","",INDEX(Reference!C:C,MATCH(Data!H46,Reference!A:A,0),0))</f>
        <v>jerrisonchai@gmail.com</v>
      </c>
      <c r="K46" t="str">
        <f t="shared" ca="1" si="3"/>
        <v>Singapore Summary Reports - 2025-08-26-1709</v>
      </c>
      <c r="L46" t="str">
        <f t="shared" si="4"/>
        <v>Hi, kindly refer to the attached. Thanks</v>
      </c>
    </row>
    <row r="47" spans="1:12" x14ac:dyDescent="0.25">
      <c r="A47" t="s">
        <v>136</v>
      </c>
      <c r="B47" s="54">
        <v>45307.714328703703</v>
      </c>
      <c r="C47" t="s">
        <v>137</v>
      </c>
      <c r="D47" t="s">
        <v>37</v>
      </c>
      <c r="E47" s="56" t="str">
        <f t="shared" si="0"/>
        <v>C:\Users\Jerrison Chai\Documents\02 DEMO\WorkingFile\SG</v>
      </c>
      <c r="F47" s="56" t="str">
        <f t="shared" si="1"/>
        <v>C:\Users\Jerrison Chai\Documents\02 DEMO\WorkingFile\SG\SG2023-09 Zalora Transaction Report (v20240116-1708).xlsx</v>
      </c>
      <c r="H47" t="str">
        <f t="shared" si="2"/>
        <v>SG</v>
      </c>
      <c r="I47" t="str">
        <f>IF(A47="","00 NOT FOUND",INDEX(Reference!B:B,MATCH(Data!H47,Reference!A:A,0),0))</f>
        <v>Singapore</v>
      </c>
      <c r="J47" t="str">
        <f>IF(A47="","",INDEX(Reference!C:C,MATCH(Data!H47,Reference!A:A,0),0))</f>
        <v>jerrisonchai@gmail.com</v>
      </c>
      <c r="K47" t="str">
        <f t="shared" ca="1" si="3"/>
        <v>Singapore Summary Reports - 2025-08-26-1709</v>
      </c>
      <c r="L47" t="str">
        <f t="shared" si="4"/>
        <v>Hi, kindly refer to the attached. Thanks</v>
      </c>
    </row>
    <row r="48" spans="1:12" x14ac:dyDescent="0.25">
      <c r="A48" t="s">
        <v>138</v>
      </c>
      <c r="B48" s="54">
        <v>45307.664803240739</v>
      </c>
      <c r="C48" t="s">
        <v>139</v>
      </c>
      <c r="D48" t="s">
        <v>37</v>
      </c>
      <c r="E48" s="56" t="str">
        <f t="shared" si="0"/>
        <v>C:\Users\Jerrison Chai\Documents\02 DEMO\WorkingFile\SG</v>
      </c>
      <c r="F48" s="56" t="str">
        <f t="shared" si="1"/>
        <v>C:\Users\Jerrison Chai\Documents\02 DEMO\WorkingFile\SG\SG2023-10 Lazada Expenses Summary report (v20240116-1557).xlsx</v>
      </c>
      <c r="H48" t="str">
        <f t="shared" si="2"/>
        <v>SG</v>
      </c>
      <c r="I48" t="str">
        <f>IF(A48="","00 NOT FOUND",INDEX(Reference!B:B,MATCH(Data!H48,Reference!A:A,0),0))</f>
        <v>Singapore</v>
      </c>
      <c r="J48" t="str">
        <f>IF(A48="","",INDEX(Reference!C:C,MATCH(Data!H48,Reference!A:A,0),0))</f>
        <v>jerrisonchai@gmail.com</v>
      </c>
      <c r="K48" t="str">
        <f t="shared" ca="1" si="3"/>
        <v>Singapore Summary Reports - 2025-08-26-1709</v>
      </c>
      <c r="L48" t="str">
        <f t="shared" si="4"/>
        <v>Hi, kindly refer to the attached. Thanks</v>
      </c>
    </row>
    <row r="49" spans="1:12" x14ac:dyDescent="0.25">
      <c r="A49" t="s">
        <v>140</v>
      </c>
      <c r="B49" s="54">
        <v>45308.646006944444</v>
      </c>
      <c r="C49" t="s">
        <v>141</v>
      </c>
      <c r="D49" t="s">
        <v>37</v>
      </c>
      <c r="E49" s="56" t="str">
        <f t="shared" si="0"/>
        <v>C:\Users\Jerrison Chai\Documents\02 DEMO\WorkingFile\SG</v>
      </c>
      <c r="F49" s="56" t="str">
        <f t="shared" si="1"/>
        <v>C:\Users\Jerrison Chai\Documents\02 DEMO\WorkingFile\SG\SG2023-10 Shopee Transaction Report (v20240117-1530).xlsx</v>
      </c>
      <c r="H49" t="str">
        <f t="shared" si="2"/>
        <v>SG</v>
      </c>
      <c r="I49" t="str">
        <f>IF(A49="","00 NOT FOUND",INDEX(Reference!B:B,MATCH(Data!H49,Reference!A:A,0),0))</f>
        <v>Singapore</v>
      </c>
      <c r="J49" t="str">
        <f>IF(A49="","",INDEX(Reference!C:C,MATCH(Data!H49,Reference!A:A,0),0))</f>
        <v>jerrisonchai@gmail.com</v>
      </c>
      <c r="K49" t="str">
        <f t="shared" ca="1" si="3"/>
        <v>Singapore Summary Reports - 2025-08-26-1709</v>
      </c>
      <c r="L49" t="str">
        <f t="shared" si="4"/>
        <v>Hi, kindly refer to the attached. Thanks</v>
      </c>
    </row>
    <row r="50" spans="1:12" x14ac:dyDescent="0.25">
      <c r="A50" t="s">
        <v>142</v>
      </c>
      <c r="B50" s="54">
        <v>45307.714918981481</v>
      </c>
      <c r="C50" t="s">
        <v>143</v>
      </c>
      <c r="D50" t="s">
        <v>37</v>
      </c>
      <c r="E50" s="56" t="str">
        <f t="shared" si="0"/>
        <v>C:\Users\Jerrison Chai\Documents\02 DEMO\WorkingFile\SG</v>
      </c>
      <c r="F50" s="56" t="str">
        <f t="shared" si="1"/>
        <v>C:\Users\Jerrison Chai\Documents\02 DEMO\WorkingFile\SG\SG2023-10 Zalora Transaction Report (v20240116-1709).xlsx</v>
      </c>
      <c r="H50" t="str">
        <f t="shared" si="2"/>
        <v>SG</v>
      </c>
      <c r="I50" t="str">
        <f>IF(A50="","00 NOT FOUND",INDEX(Reference!B:B,MATCH(Data!H50,Reference!A:A,0),0))</f>
        <v>Singapore</v>
      </c>
      <c r="J50" t="str">
        <f>IF(A50="","",INDEX(Reference!C:C,MATCH(Data!H50,Reference!A:A,0),0))</f>
        <v>jerrisonchai@gmail.com</v>
      </c>
      <c r="K50" t="str">
        <f t="shared" ca="1" si="3"/>
        <v>Singapore Summary Reports - 2025-08-26-1709</v>
      </c>
      <c r="L50" t="str">
        <f t="shared" si="4"/>
        <v>Hi, kindly refer to the attached. Thanks</v>
      </c>
    </row>
    <row r="51" spans="1:12" x14ac:dyDescent="0.25">
      <c r="A51" t="s">
        <v>144</v>
      </c>
      <c r="B51" s="54">
        <v>45303.514317129629</v>
      </c>
      <c r="C51" t="s">
        <v>145</v>
      </c>
      <c r="D51" t="s">
        <v>37</v>
      </c>
      <c r="E51" s="56" t="str">
        <f t="shared" si="0"/>
        <v>C:\Users\Jerrison Chai\Documents\02 DEMO\WorkingFile\SG</v>
      </c>
      <c r="F51" s="56" t="str">
        <f t="shared" si="1"/>
        <v>C:\Users\Jerrison Chai\Documents\02 DEMO\WorkingFile\SG\SG2023-11 Lazada Expenses Summary report (v20240112-1220).xlsx</v>
      </c>
      <c r="H51" t="str">
        <f t="shared" si="2"/>
        <v>SG</v>
      </c>
      <c r="I51" t="str">
        <f>IF(A51="","00 NOT FOUND",INDEX(Reference!B:B,MATCH(Data!H51,Reference!A:A,0),0))</f>
        <v>Singapore</v>
      </c>
      <c r="J51" t="str">
        <f>IF(A51="","",INDEX(Reference!C:C,MATCH(Data!H51,Reference!A:A,0),0))</f>
        <v>jerrisonchai@gmail.com</v>
      </c>
      <c r="K51" t="str">
        <f t="shared" ca="1" si="3"/>
        <v>Singapore Summary Reports - 2025-08-26-1709</v>
      </c>
      <c r="L51" t="str">
        <f t="shared" si="4"/>
        <v>Hi, kindly refer to the attached. Thanks</v>
      </c>
    </row>
    <row r="52" spans="1:12" x14ac:dyDescent="0.25">
      <c r="A52" t="s">
        <v>146</v>
      </c>
      <c r="B52" s="54">
        <v>45303.619513888887</v>
      </c>
      <c r="C52" t="s">
        <v>147</v>
      </c>
      <c r="D52" t="s">
        <v>37</v>
      </c>
      <c r="E52" s="56" t="str">
        <f t="shared" si="0"/>
        <v>C:\Users\Jerrison Chai\Documents\02 DEMO\WorkingFile\SG</v>
      </c>
      <c r="F52" s="56" t="str">
        <f t="shared" si="1"/>
        <v>C:\Users\Jerrison Chai\Documents\02 DEMO\WorkingFile\SG\SG2023-11 Shopee Transaction Report (v20240112-1452).xlsx</v>
      </c>
      <c r="H52" t="str">
        <f t="shared" si="2"/>
        <v>SG</v>
      </c>
      <c r="I52" t="str">
        <f>IF(A52="","00 NOT FOUND",INDEX(Reference!B:B,MATCH(Data!H52,Reference!A:A,0),0))</f>
        <v>Singapore</v>
      </c>
      <c r="J52" t="str">
        <f>IF(A52="","",INDEX(Reference!C:C,MATCH(Data!H52,Reference!A:A,0),0))</f>
        <v>jerrisonchai@gmail.com</v>
      </c>
      <c r="K52" t="str">
        <f t="shared" ca="1" si="3"/>
        <v>Singapore Summary Reports - 2025-08-26-1709</v>
      </c>
      <c r="L52" t="str">
        <f t="shared" si="4"/>
        <v>Hi, kindly refer to the attached. Thanks</v>
      </c>
    </row>
    <row r="53" spans="1:12" x14ac:dyDescent="0.25">
      <c r="A53" t="s">
        <v>148</v>
      </c>
      <c r="B53" s="54">
        <v>45303.650613425925</v>
      </c>
      <c r="C53" t="s">
        <v>149</v>
      </c>
      <c r="D53" t="s">
        <v>37</v>
      </c>
      <c r="E53" s="56" t="str">
        <f t="shared" si="0"/>
        <v>C:\Users\Jerrison Chai\Documents\02 DEMO\WorkingFile\SG</v>
      </c>
      <c r="F53" s="56" t="str">
        <f t="shared" si="1"/>
        <v>C:\Users\Jerrison Chai\Documents\02 DEMO\WorkingFile\SG\SG2023-11 Zalora Transaction Report (v20240112-1536).xlsx</v>
      </c>
      <c r="H53" t="str">
        <f t="shared" si="2"/>
        <v>SG</v>
      </c>
      <c r="I53" t="str">
        <f>IF(A53="","00 NOT FOUND",INDEX(Reference!B:B,MATCH(Data!H53,Reference!A:A,0),0))</f>
        <v>Singapore</v>
      </c>
      <c r="J53" t="str">
        <f>IF(A53="","",INDEX(Reference!C:C,MATCH(Data!H53,Reference!A:A,0),0))</f>
        <v>jerrisonchai@gmail.com</v>
      </c>
      <c r="K53" t="str">
        <f t="shared" ca="1" si="3"/>
        <v>Singapore Summary Reports - 2025-08-26-1709</v>
      </c>
      <c r="L53" t="str">
        <f t="shared" si="4"/>
        <v>Hi, kindly refer to the attached. Thanks</v>
      </c>
    </row>
    <row r="54" spans="1:12" x14ac:dyDescent="0.25">
      <c r="A54" t="s">
        <v>150</v>
      </c>
      <c r="B54" s="54">
        <v>45308.649745370371</v>
      </c>
      <c r="C54" t="s">
        <v>151</v>
      </c>
      <c r="D54" t="s">
        <v>37</v>
      </c>
      <c r="E54" s="56" t="str">
        <f t="shared" si="0"/>
        <v>C:\Users\Jerrison Chai\Documents\02 DEMO\WorkingFile\TH</v>
      </c>
      <c r="F54" s="56" t="str">
        <f t="shared" si="1"/>
        <v>C:\Users\Jerrison Chai\Documents\02 DEMO\WorkingFile\TH\TH2023-07 Shopee Transaction Report (v20240117-1535).xlsx</v>
      </c>
      <c r="H54" t="str">
        <f t="shared" si="2"/>
        <v>TH</v>
      </c>
      <c r="I54" t="str">
        <f>IF(A54="","00 NOT FOUND",INDEX(Reference!B:B,MATCH(Data!H54,Reference!A:A,0),0))</f>
        <v>Thailand</v>
      </c>
      <c r="J54" t="str">
        <f>IF(A54="","",INDEX(Reference!C:C,MATCH(Data!H54,Reference!A:A,0),0))</f>
        <v>jerrison.shuei@gmail.com</v>
      </c>
      <c r="K54" t="str">
        <f t="shared" ca="1" si="3"/>
        <v>Thailand Summary Reports - 2025-08-26-1709</v>
      </c>
      <c r="L54" t="str">
        <f t="shared" si="4"/>
        <v>Hi, kindly refer to the attached. Thanks</v>
      </c>
    </row>
    <row r="55" spans="1:12" x14ac:dyDescent="0.25">
      <c r="A55" t="s">
        <v>152</v>
      </c>
      <c r="B55" s="54">
        <v>45308.650208333333</v>
      </c>
      <c r="C55" t="s">
        <v>153</v>
      </c>
      <c r="D55" t="s">
        <v>37</v>
      </c>
      <c r="E55" s="56" t="str">
        <f t="shared" si="0"/>
        <v>C:\Users\Jerrison Chai\Documents\02 DEMO\WorkingFile\TH</v>
      </c>
      <c r="F55" s="56" t="str">
        <f t="shared" si="1"/>
        <v>C:\Users\Jerrison Chai\Documents\02 DEMO\WorkingFile\TH\TH2023-08 Shopee Transaction Report (v20240117-1536).xlsx</v>
      </c>
      <c r="H55" t="str">
        <f t="shared" si="2"/>
        <v>TH</v>
      </c>
      <c r="I55" t="str">
        <f>IF(A55="","00 NOT FOUND",INDEX(Reference!B:B,MATCH(Data!H55,Reference!A:A,0),0))</f>
        <v>Thailand</v>
      </c>
      <c r="J55" t="str">
        <f>IF(A55="","",INDEX(Reference!C:C,MATCH(Data!H55,Reference!A:A,0),0))</f>
        <v>jerrison.shuei@gmail.com</v>
      </c>
      <c r="K55" t="str">
        <f t="shared" ca="1" si="3"/>
        <v>Thailand Summary Reports - 2025-08-26-1709</v>
      </c>
      <c r="L55" t="str">
        <f t="shared" si="4"/>
        <v>Hi, kindly refer to the attached. Thanks</v>
      </c>
    </row>
    <row r="56" spans="1:12" x14ac:dyDescent="0.25">
      <c r="A56" t="s">
        <v>154</v>
      </c>
      <c r="B56" s="54">
        <v>45308.650902777779</v>
      </c>
      <c r="C56" t="s">
        <v>155</v>
      </c>
      <c r="D56" t="s">
        <v>37</v>
      </c>
      <c r="E56" s="56" t="str">
        <f t="shared" si="0"/>
        <v>C:\Users\Jerrison Chai\Documents\02 DEMO\WorkingFile\TH</v>
      </c>
      <c r="F56" s="56" t="str">
        <f t="shared" si="1"/>
        <v>C:\Users\Jerrison Chai\Documents\02 DEMO\WorkingFile\TH\TH2023-09 Shopee Transaction Report (v20240117-1537).xlsx</v>
      </c>
      <c r="H56" t="str">
        <f t="shared" si="2"/>
        <v>TH</v>
      </c>
      <c r="I56" t="str">
        <f>IF(A56="","00 NOT FOUND",INDEX(Reference!B:B,MATCH(Data!H56,Reference!A:A,0),0))</f>
        <v>Thailand</v>
      </c>
      <c r="J56" t="str">
        <f>IF(A56="","",INDEX(Reference!C:C,MATCH(Data!H56,Reference!A:A,0),0))</f>
        <v>jerrison.shuei@gmail.com</v>
      </c>
      <c r="K56" t="str">
        <f t="shared" ca="1" si="3"/>
        <v>Thailand Summary Reports - 2025-08-26-1709</v>
      </c>
      <c r="L56" t="str">
        <f t="shared" si="4"/>
        <v>Hi, kindly refer to the attached. Thanks</v>
      </c>
    </row>
    <row r="57" spans="1:12" x14ac:dyDescent="0.25">
      <c r="A57" t="s">
        <v>156</v>
      </c>
      <c r="B57" s="54">
        <v>45308.651435185187</v>
      </c>
      <c r="C57" t="s">
        <v>157</v>
      </c>
      <c r="D57" t="s">
        <v>37</v>
      </c>
      <c r="E57" s="56" t="str">
        <f t="shared" si="0"/>
        <v>C:\Users\Jerrison Chai\Documents\02 DEMO\WorkingFile\TH</v>
      </c>
      <c r="F57" s="56" t="str">
        <f t="shared" si="1"/>
        <v>C:\Users\Jerrison Chai\Documents\02 DEMO\WorkingFile\TH\TH2023-10 Shopee Transaction Report (v20240117-1538).xlsx</v>
      </c>
      <c r="H57" t="str">
        <f t="shared" si="2"/>
        <v>TH</v>
      </c>
      <c r="I57" t="str">
        <f>IF(A57="","00 NOT FOUND",INDEX(Reference!B:B,MATCH(Data!H57,Reference!A:A,0),0))</f>
        <v>Thailand</v>
      </c>
      <c r="J57" t="str">
        <f>IF(A57="","",INDEX(Reference!C:C,MATCH(Data!H57,Reference!A:A,0),0))</f>
        <v>jerrison.shuei@gmail.com</v>
      </c>
      <c r="K57" t="str">
        <f t="shared" ca="1" si="3"/>
        <v>Thailand Summary Reports - 2025-08-26-1709</v>
      </c>
      <c r="L57" t="str">
        <f t="shared" si="4"/>
        <v>Hi, kindly refer to the attached. Thanks</v>
      </c>
    </row>
    <row r="58" spans="1:12" x14ac:dyDescent="0.25">
      <c r="A58" t="s">
        <v>158</v>
      </c>
      <c r="B58" s="54">
        <v>45303.622118055559</v>
      </c>
      <c r="C58" t="s">
        <v>159</v>
      </c>
      <c r="D58" t="s">
        <v>37</v>
      </c>
      <c r="E58" s="56" t="str">
        <f t="shared" si="0"/>
        <v>C:\Users\Jerrison Chai\Documents\02 DEMO\WorkingFile\TH</v>
      </c>
      <c r="F58" s="56" t="str">
        <f t="shared" si="1"/>
        <v>C:\Users\Jerrison Chai\Documents\02 DEMO\WorkingFile\TH\TH2023-11 Shopee Transaction Report (v20240112-1455).xlsx</v>
      </c>
      <c r="H58" t="str">
        <f t="shared" si="2"/>
        <v>TH</v>
      </c>
      <c r="I58" t="str">
        <f>IF(A58="","00 NOT FOUND",INDEX(Reference!B:B,MATCH(Data!H58,Reference!A:A,0),0))</f>
        <v>Thailand</v>
      </c>
      <c r="J58" t="str">
        <f>IF(A58="","",INDEX(Reference!C:C,MATCH(Data!H58,Reference!A:A,0),0))</f>
        <v>jerrison.shuei@gmail.com</v>
      </c>
      <c r="K58" t="str">
        <f t="shared" ca="1" si="3"/>
        <v>Thailand Summary Reports - 2025-08-26-1709</v>
      </c>
      <c r="L58" t="str">
        <f t="shared" si="4"/>
        <v>Hi, kindly refer to the attached. Thanks</v>
      </c>
    </row>
    <row r="59" spans="1:12" x14ac:dyDescent="0.25">
      <c r="A59" t="s">
        <v>160</v>
      </c>
      <c r="B59" s="54">
        <v>45308.653402777774</v>
      </c>
      <c r="C59" t="s">
        <v>161</v>
      </c>
      <c r="D59" t="s">
        <v>37</v>
      </c>
      <c r="E59" s="56" t="str">
        <f t="shared" si="0"/>
        <v>C:\Users\Jerrison Chai\Documents\02 DEMO\WorkingFile\TW</v>
      </c>
      <c r="F59" s="56" t="str">
        <f t="shared" si="1"/>
        <v>C:\Users\Jerrison Chai\Documents\02 DEMO\WorkingFile\TW\TW2023-07 Shopee Transaction Report (v20240117-1540).xlsx</v>
      </c>
      <c r="H59" t="str">
        <f t="shared" si="2"/>
        <v>TW</v>
      </c>
      <c r="I59" t="str">
        <f>IF(A59="","00 NOT FOUND",INDEX(Reference!B:B,MATCH(Data!H59,Reference!A:A,0),0))</f>
        <v>Taiwan</v>
      </c>
      <c r="J59" t="str">
        <f>IF(A59="","",INDEX(Reference!C:C,MATCH(Data!H59,Reference!A:A,0),0))</f>
        <v>jerrison.shuei@gmail.com</v>
      </c>
      <c r="K59" t="str">
        <f t="shared" ca="1" si="3"/>
        <v>Taiwan Summary Reports - 2025-08-26-1709</v>
      </c>
      <c r="L59" t="str">
        <f t="shared" si="4"/>
        <v>Hi, kindly refer to the attached. Thanks</v>
      </c>
    </row>
    <row r="60" spans="1:12" x14ac:dyDescent="0.25">
      <c r="A60" t="s">
        <v>162</v>
      </c>
      <c r="B60" s="54">
        <v>45307.716967592591</v>
      </c>
      <c r="C60" t="s">
        <v>163</v>
      </c>
      <c r="D60" t="s">
        <v>37</v>
      </c>
      <c r="E60" s="56" t="str">
        <f t="shared" si="0"/>
        <v>C:\Users\Jerrison Chai\Documents\02 DEMO\WorkingFile\TW</v>
      </c>
      <c r="F60" s="56" t="str">
        <f t="shared" si="1"/>
        <v>C:\Users\Jerrison Chai\Documents\02 DEMO\WorkingFile\TW\TW2023-07 Zalora Transaction Report (v20240116-1712).xlsx</v>
      </c>
      <c r="H60" t="str">
        <f t="shared" si="2"/>
        <v>TW</v>
      </c>
      <c r="I60" t="str">
        <f>IF(A60="","00 NOT FOUND",INDEX(Reference!B:B,MATCH(Data!H60,Reference!A:A,0),0))</f>
        <v>Taiwan</v>
      </c>
      <c r="J60" t="str">
        <f>IF(A60="","",INDEX(Reference!C:C,MATCH(Data!H60,Reference!A:A,0),0))</f>
        <v>jerrison.shuei@gmail.com</v>
      </c>
      <c r="K60" t="str">
        <f t="shared" ca="1" si="3"/>
        <v>Taiwan Summary Reports - 2025-08-26-1709</v>
      </c>
      <c r="L60" t="str">
        <f t="shared" si="4"/>
        <v>Hi, kindly refer to the attached. Thanks</v>
      </c>
    </row>
    <row r="61" spans="1:12" x14ac:dyDescent="0.25">
      <c r="A61" t="s">
        <v>164</v>
      </c>
      <c r="B61" s="54">
        <v>45308.653738425928</v>
      </c>
      <c r="C61" t="s">
        <v>165</v>
      </c>
      <c r="D61" t="s">
        <v>37</v>
      </c>
      <c r="E61" s="56" t="str">
        <f t="shared" si="0"/>
        <v>C:\Users\Jerrison Chai\Documents\02 DEMO\WorkingFile\TW</v>
      </c>
      <c r="F61" s="56" t="str">
        <f t="shared" si="1"/>
        <v>C:\Users\Jerrison Chai\Documents\02 DEMO\WorkingFile\TW\TW2023-08 Shopee Transaction Report (v20240117-1541).xlsx</v>
      </c>
      <c r="H61" t="str">
        <f t="shared" si="2"/>
        <v>TW</v>
      </c>
      <c r="I61" t="str">
        <f>IF(A61="","00 NOT FOUND",INDEX(Reference!B:B,MATCH(Data!H61,Reference!A:A,0),0))</f>
        <v>Taiwan</v>
      </c>
      <c r="J61" t="str">
        <f>IF(A61="","",INDEX(Reference!C:C,MATCH(Data!H61,Reference!A:A,0),0))</f>
        <v>jerrison.shuei@gmail.com</v>
      </c>
      <c r="K61" t="str">
        <f t="shared" ca="1" si="3"/>
        <v>Taiwan Summary Reports - 2025-08-26-1709</v>
      </c>
      <c r="L61" t="str">
        <f t="shared" si="4"/>
        <v>Hi, kindly refer to the attached. Thanks</v>
      </c>
    </row>
    <row r="62" spans="1:12" x14ac:dyDescent="0.25">
      <c r="A62" t="s">
        <v>166</v>
      </c>
      <c r="B62" s="54">
        <v>45307.717476851853</v>
      </c>
      <c r="C62" t="s">
        <v>167</v>
      </c>
      <c r="D62" t="s">
        <v>37</v>
      </c>
      <c r="E62" s="56" t="str">
        <f t="shared" si="0"/>
        <v>C:\Users\Jerrison Chai\Documents\02 DEMO\WorkingFile\TW</v>
      </c>
      <c r="F62" s="56" t="str">
        <f t="shared" si="1"/>
        <v>C:\Users\Jerrison Chai\Documents\02 DEMO\WorkingFile\TW\TW2023-08 Zalora Transaction Report (v20240116-1713).xlsx</v>
      </c>
      <c r="H62" t="str">
        <f t="shared" si="2"/>
        <v>TW</v>
      </c>
      <c r="I62" t="str">
        <f>IF(A62="","00 NOT FOUND",INDEX(Reference!B:B,MATCH(Data!H62,Reference!A:A,0),0))</f>
        <v>Taiwan</v>
      </c>
      <c r="J62" t="str">
        <f>IF(A62="","",INDEX(Reference!C:C,MATCH(Data!H62,Reference!A:A,0),0))</f>
        <v>jerrison.shuei@gmail.com</v>
      </c>
      <c r="K62" t="str">
        <f t="shared" ca="1" si="3"/>
        <v>Taiwan Summary Reports - 2025-08-26-1709</v>
      </c>
      <c r="L62" t="str">
        <f t="shared" si="4"/>
        <v>Hi, kindly refer to the attached. Thanks</v>
      </c>
    </row>
    <row r="63" spans="1:12" x14ac:dyDescent="0.25">
      <c r="A63" t="s">
        <v>168</v>
      </c>
      <c r="B63" s="54">
        <v>45308.65421296296</v>
      </c>
      <c r="C63" t="s">
        <v>169</v>
      </c>
      <c r="D63" t="s">
        <v>37</v>
      </c>
      <c r="E63" s="56" t="str">
        <f t="shared" si="0"/>
        <v>C:\Users\Jerrison Chai\Documents\02 DEMO\WorkingFile\TW</v>
      </c>
      <c r="F63" s="56" t="str">
        <f t="shared" si="1"/>
        <v>C:\Users\Jerrison Chai\Documents\02 DEMO\WorkingFile\TW\TW2023-09 Shopee Transaction Report (v20240117-1542).xlsx</v>
      </c>
      <c r="H63" t="str">
        <f t="shared" si="2"/>
        <v>TW</v>
      </c>
      <c r="I63" t="str">
        <f>IF(A63="","00 NOT FOUND",INDEX(Reference!B:B,MATCH(Data!H63,Reference!A:A,0),0))</f>
        <v>Taiwan</v>
      </c>
      <c r="J63" t="str">
        <f>IF(A63="","",INDEX(Reference!C:C,MATCH(Data!H63,Reference!A:A,0),0))</f>
        <v>jerrison.shuei@gmail.com</v>
      </c>
      <c r="K63" t="str">
        <f t="shared" ca="1" si="3"/>
        <v>Taiwan Summary Reports - 2025-08-26-1709</v>
      </c>
      <c r="L63" t="str">
        <f t="shared" si="4"/>
        <v>Hi, kindly refer to the attached. Thanks</v>
      </c>
    </row>
    <row r="64" spans="1:12" x14ac:dyDescent="0.25">
      <c r="A64" t="s">
        <v>170</v>
      </c>
      <c r="B64" s="54">
        <v>45307.718495370369</v>
      </c>
      <c r="C64" t="s">
        <v>171</v>
      </c>
      <c r="D64" t="s">
        <v>37</v>
      </c>
      <c r="E64" s="56" t="str">
        <f t="shared" si="0"/>
        <v>C:\Users\Jerrison Chai\Documents\02 DEMO\WorkingFile\TW</v>
      </c>
      <c r="F64" s="56" t="str">
        <f t="shared" si="1"/>
        <v>C:\Users\Jerrison Chai\Documents\02 DEMO\WorkingFile\TW\TW2023-09 Zalora Transaction Report (v20240116-1714).xlsx</v>
      </c>
      <c r="H64" t="str">
        <f t="shared" si="2"/>
        <v>TW</v>
      </c>
      <c r="I64" t="str">
        <f>IF(A64="","00 NOT FOUND",INDEX(Reference!B:B,MATCH(Data!H64,Reference!A:A,0),0))</f>
        <v>Taiwan</v>
      </c>
      <c r="J64" t="str">
        <f>IF(A64="","",INDEX(Reference!C:C,MATCH(Data!H64,Reference!A:A,0),0))</f>
        <v>jerrison.shuei@gmail.com</v>
      </c>
      <c r="K64" t="str">
        <f t="shared" ca="1" si="3"/>
        <v>Taiwan Summary Reports - 2025-08-26-1709</v>
      </c>
      <c r="L64" t="str">
        <f t="shared" si="4"/>
        <v>Hi, kindly refer to the attached. Thanks</v>
      </c>
    </row>
    <row r="65" spans="1:12" x14ac:dyDescent="0.25">
      <c r="A65" t="s">
        <v>172</v>
      </c>
      <c r="B65" s="54">
        <v>45308.654953703706</v>
      </c>
      <c r="C65" t="s">
        <v>173</v>
      </c>
      <c r="D65" t="s">
        <v>37</v>
      </c>
      <c r="E65" s="56" t="str">
        <f t="shared" si="0"/>
        <v>C:\Users\Jerrison Chai\Documents\02 DEMO\WorkingFile\TW</v>
      </c>
      <c r="F65" s="56" t="str">
        <f t="shared" si="1"/>
        <v>C:\Users\Jerrison Chai\Documents\02 DEMO\WorkingFile\TW\TW2023-10 Shopee Transaction Report (v20240117-1543).xlsx</v>
      </c>
      <c r="H65" t="str">
        <f t="shared" si="2"/>
        <v>TW</v>
      </c>
      <c r="I65" t="str">
        <f>IF(A65="","00 NOT FOUND",INDEX(Reference!B:B,MATCH(Data!H65,Reference!A:A,0),0))</f>
        <v>Taiwan</v>
      </c>
      <c r="J65" t="str">
        <f>IF(A65="","",INDEX(Reference!C:C,MATCH(Data!H65,Reference!A:A,0),0))</f>
        <v>jerrison.shuei@gmail.com</v>
      </c>
      <c r="K65" t="str">
        <f t="shared" ca="1" si="3"/>
        <v>Taiwan Summary Reports - 2025-08-26-1709</v>
      </c>
      <c r="L65" t="str">
        <f t="shared" si="4"/>
        <v>Hi, kindly refer to the attached. Thanks</v>
      </c>
    </row>
    <row r="66" spans="1:12" x14ac:dyDescent="0.25">
      <c r="A66" t="s">
        <v>174</v>
      </c>
      <c r="B66" s="54">
        <v>45307.718981481485</v>
      </c>
      <c r="C66" t="s">
        <v>175</v>
      </c>
      <c r="D66" t="s">
        <v>37</v>
      </c>
      <c r="E66" s="56" t="str">
        <f t="shared" si="0"/>
        <v>C:\Users\Jerrison Chai\Documents\02 DEMO\WorkingFile\TW</v>
      </c>
      <c r="F66" s="56" t="str">
        <f t="shared" si="1"/>
        <v>C:\Users\Jerrison Chai\Documents\02 DEMO\WorkingFile\TW\TW2023-10 Zalora Transaction Report (v20240116-1715).xlsx</v>
      </c>
      <c r="H66" t="str">
        <f t="shared" si="2"/>
        <v>TW</v>
      </c>
      <c r="I66" t="str">
        <f>IF(A66="","00 NOT FOUND",INDEX(Reference!B:B,MATCH(Data!H66,Reference!A:A,0),0))</f>
        <v>Taiwan</v>
      </c>
      <c r="J66" t="str">
        <f>IF(A66="","",INDEX(Reference!C:C,MATCH(Data!H66,Reference!A:A,0),0))</f>
        <v>jerrison.shuei@gmail.com</v>
      </c>
      <c r="K66" t="str">
        <f t="shared" ca="1" si="3"/>
        <v>Taiwan Summary Reports - 2025-08-26-1709</v>
      </c>
      <c r="L66" t="str">
        <f t="shared" si="4"/>
        <v>Hi, kindly refer to the attached. Thanks</v>
      </c>
    </row>
    <row r="67" spans="1:12" x14ac:dyDescent="0.25">
      <c r="A67" t="s">
        <v>176</v>
      </c>
      <c r="B67" s="54">
        <v>45303.627766203703</v>
      </c>
      <c r="C67" t="s">
        <v>177</v>
      </c>
      <c r="D67" t="s">
        <v>37</v>
      </c>
      <c r="E67" s="56" t="str">
        <f t="shared" ref="E67:E72" si="5">IF(A67="","",D67&amp;"\"&amp;H67)</f>
        <v>C:\Users\Jerrison Chai\Documents\02 DEMO\WorkingFile\TW</v>
      </c>
      <c r="F67" s="56" t="str">
        <f t="shared" ref="F67:F72" si="6">IF(A67="","",E67&amp;"\"&amp;A67)</f>
        <v>C:\Users\Jerrison Chai\Documents\02 DEMO\WorkingFile\TW\TW2023-11 Shopee Transaction Report (v20240112-1503).xlsx</v>
      </c>
      <c r="H67" t="str">
        <f t="shared" ref="H67:H72" si="7">IF(A67="","",LEFT(A67,2))</f>
        <v>TW</v>
      </c>
      <c r="I67" t="str">
        <f>IF(A67="","00 NOT FOUND",INDEX(Reference!B:B,MATCH(Data!H67,Reference!A:A,0),0))</f>
        <v>Taiwan</v>
      </c>
      <c r="J67" t="str">
        <f>IF(A67="","",INDEX(Reference!C:C,MATCH(Data!H67,Reference!A:A,0),0))</f>
        <v>jerrison.shuei@gmail.com</v>
      </c>
      <c r="K67" t="str">
        <f t="shared" ref="K67:K72" ca="1" si="8">IF(A67="","",I67&amp;" Summary Reports - " &amp; TEXT(NOW(),"YYYY-MM-DD-HHMM"))</f>
        <v>Taiwan Summary Reports - 2025-08-26-1709</v>
      </c>
      <c r="L67" t="str">
        <f t="shared" ref="L67:L72" si="9">IF(A67="","","Hi, kindly refer to the attached. Thanks")</f>
        <v>Hi, kindly refer to the attached. Thanks</v>
      </c>
    </row>
    <row r="68" spans="1:12" x14ac:dyDescent="0.25">
      <c r="A68" t="s">
        <v>178</v>
      </c>
      <c r="B68" s="54">
        <v>45303.655659722222</v>
      </c>
      <c r="C68" t="s">
        <v>179</v>
      </c>
      <c r="D68" t="s">
        <v>37</v>
      </c>
      <c r="E68" s="56" t="str">
        <f t="shared" si="5"/>
        <v>C:\Users\Jerrison Chai\Documents\02 DEMO\WorkingFile\TW</v>
      </c>
      <c r="F68" s="56" t="str">
        <f t="shared" si="6"/>
        <v>C:\Users\Jerrison Chai\Documents\02 DEMO\WorkingFile\TW\TW2023-11 Zalora Transaction Report (v20240112-1544).xlsx</v>
      </c>
      <c r="H68" t="str">
        <f t="shared" si="7"/>
        <v>TW</v>
      </c>
      <c r="I68" t="str">
        <f>IF(A68="","00 NOT FOUND",INDEX(Reference!B:B,MATCH(Data!H68,Reference!A:A,0),0))</f>
        <v>Taiwan</v>
      </c>
      <c r="J68" t="str">
        <f>IF(A68="","",INDEX(Reference!C:C,MATCH(Data!H68,Reference!A:A,0),0))</f>
        <v>jerrison.shuei@gmail.com</v>
      </c>
      <c r="K68" t="str">
        <f t="shared" ca="1" si="8"/>
        <v>Taiwan Summary Reports - 2025-08-26-1709</v>
      </c>
      <c r="L68" t="str">
        <f t="shared" si="9"/>
        <v>Hi, kindly refer to the attached. Thanks</v>
      </c>
    </row>
    <row r="69" spans="1:12" x14ac:dyDescent="0.25">
      <c r="A69" t="s">
        <v>180</v>
      </c>
      <c r="B69" s="54">
        <v>45308.658078703702</v>
      </c>
      <c r="C69" t="s">
        <v>181</v>
      </c>
      <c r="D69" t="s">
        <v>37</v>
      </c>
      <c r="E69" s="56" t="str">
        <f t="shared" si="5"/>
        <v>C:\Users\Jerrison Chai\Documents\02 DEMO\WorkingFile\VN</v>
      </c>
      <c r="F69" s="56" t="str">
        <f t="shared" si="6"/>
        <v>C:\Users\Jerrison Chai\Documents\02 DEMO\WorkingFile\VN\VN2023-08 Shopee Transaction Report (v20240117-1547).xlsx</v>
      </c>
      <c r="H69" t="str">
        <f t="shared" si="7"/>
        <v>VN</v>
      </c>
      <c r="I69" t="str">
        <f>IF(A69="","00 NOT FOUND",INDEX(Reference!B:B,MATCH(Data!H69,Reference!A:A,0),0))</f>
        <v>Vietnam</v>
      </c>
      <c r="J69" t="str">
        <f>IF(A69="","",INDEX(Reference!C:C,MATCH(Data!H69,Reference!A:A,0),0))</f>
        <v>jerrisonchai@gmail.com</v>
      </c>
      <c r="K69" t="str">
        <f t="shared" ca="1" si="8"/>
        <v>Vietnam Summary Reports - 2025-08-26-1709</v>
      </c>
      <c r="L69" t="str">
        <f t="shared" si="9"/>
        <v>Hi, kindly refer to the attached. Thanks</v>
      </c>
    </row>
    <row r="70" spans="1:12" x14ac:dyDescent="0.25">
      <c r="A70" t="s">
        <v>182</v>
      </c>
      <c r="B70" s="54">
        <v>45308.658587962964</v>
      </c>
      <c r="C70" t="s">
        <v>183</v>
      </c>
      <c r="D70" t="s">
        <v>37</v>
      </c>
      <c r="E70" s="56" t="str">
        <f t="shared" si="5"/>
        <v>C:\Users\Jerrison Chai\Documents\02 DEMO\WorkingFile\VN</v>
      </c>
      <c r="F70" s="56" t="str">
        <f t="shared" si="6"/>
        <v>C:\Users\Jerrison Chai\Documents\02 DEMO\WorkingFile\VN\VN2023-09 Shopee Transaction Report (v20240117-1548).xlsx</v>
      </c>
      <c r="H70" t="str">
        <f t="shared" si="7"/>
        <v>VN</v>
      </c>
      <c r="I70" t="str">
        <f>IF(A70="","00 NOT FOUND",INDEX(Reference!B:B,MATCH(Data!H70,Reference!A:A,0),0))</f>
        <v>Vietnam</v>
      </c>
      <c r="J70" t="str">
        <f>IF(A70="","",INDEX(Reference!C:C,MATCH(Data!H70,Reference!A:A,0),0))</f>
        <v>jerrisonchai@gmail.com</v>
      </c>
      <c r="K70" t="str">
        <f t="shared" ca="1" si="8"/>
        <v>Vietnam Summary Reports - 2025-08-26-1709</v>
      </c>
      <c r="L70" t="str">
        <f t="shared" si="9"/>
        <v>Hi, kindly refer to the attached. Thanks</v>
      </c>
    </row>
    <row r="71" spans="1:12" x14ac:dyDescent="0.25">
      <c r="A71" t="s">
        <v>184</v>
      </c>
      <c r="B71" s="54">
        <v>45308.659722222219</v>
      </c>
      <c r="C71" t="s">
        <v>185</v>
      </c>
      <c r="D71" t="s">
        <v>37</v>
      </c>
      <c r="E71" s="56" t="str">
        <f t="shared" si="5"/>
        <v>C:\Users\Jerrison Chai\Documents\02 DEMO\WorkingFile\VN</v>
      </c>
      <c r="F71" s="56" t="str">
        <f t="shared" si="6"/>
        <v>C:\Users\Jerrison Chai\Documents\02 DEMO\WorkingFile\VN\VN2023-10 Shopee Transaction Report (v20240117-1550).xlsx</v>
      </c>
      <c r="H71" t="str">
        <f t="shared" si="7"/>
        <v>VN</v>
      </c>
      <c r="I71" t="str">
        <f>IF(A71="","00 NOT FOUND",INDEX(Reference!B:B,MATCH(Data!H71,Reference!A:A,0),0))</f>
        <v>Vietnam</v>
      </c>
      <c r="J71" t="str">
        <f>IF(A71="","",INDEX(Reference!C:C,MATCH(Data!H71,Reference!A:A,0),0))</f>
        <v>jerrisonchai@gmail.com</v>
      </c>
      <c r="K71" t="str">
        <f t="shared" ca="1" si="8"/>
        <v>Vietnam Summary Reports - 2025-08-26-1709</v>
      </c>
      <c r="L71" t="str">
        <f t="shared" si="9"/>
        <v>Hi, kindly refer to the attached. Thanks</v>
      </c>
    </row>
    <row r="72" spans="1:12" x14ac:dyDescent="0.25">
      <c r="A72" t="s">
        <v>186</v>
      </c>
      <c r="B72" s="54">
        <v>45303.629201388889</v>
      </c>
      <c r="C72" t="s">
        <v>187</v>
      </c>
      <c r="D72" t="s">
        <v>37</v>
      </c>
      <c r="E72" s="56" t="str">
        <f t="shared" si="5"/>
        <v>C:\Users\Jerrison Chai\Documents\02 DEMO\WorkingFile\VN</v>
      </c>
      <c r="F72" s="56" t="str">
        <f t="shared" si="6"/>
        <v>C:\Users\Jerrison Chai\Documents\02 DEMO\WorkingFile\VN\VN2023-11 Shopee Transaction Report (v20240112-1506).xlsx</v>
      </c>
      <c r="H72" t="str">
        <f t="shared" si="7"/>
        <v>VN</v>
      </c>
      <c r="I72" t="str">
        <f>IF(A72="","00 NOT FOUND",INDEX(Reference!B:B,MATCH(Data!H72,Reference!A:A,0),0))</f>
        <v>Vietnam</v>
      </c>
      <c r="J72" t="str">
        <f>IF(A72="","",INDEX(Reference!C:C,MATCH(Data!H72,Reference!A:A,0),0))</f>
        <v>jerrisonchai@gmail.com</v>
      </c>
      <c r="K72" t="str">
        <f t="shared" ca="1" si="8"/>
        <v>Vietnam Summary Reports - 2025-08-26-1709</v>
      </c>
      <c r="L72" t="str">
        <f t="shared" si="9"/>
        <v>Hi, kindly refer to the attached. Thanks</v>
      </c>
    </row>
    <row r="73" spans="1:12" x14ac:dyDescent="0.25">
      <c r="E73" s="56" t="str">
        <f t="shared" ref="E73:E134" si="10">IF(A73="","",D73&amp;"\"&amp;H73)</f>
        <v/>
      </c>
      <c r="F73" s="56" t="str">
        <f t="shared" ref="F73:F134" si="11">IF(A73="","",E73&amp;"\"&amp;A73)</f>
        <v/>
      </c>
      <c r="H73" t="str">
        <f t="shared" ref="H73:H134" si="12">IF(A73="","",LEFT(A73,2))</f>
        <v/>
      </c>
      <c r="I73" t="str">
        <f>IF(A73="","00 NOT FOUND",INDEX(Reference!B:B,MATCH(Data!H73,Reference!A:A,0),0))</f>
        <v>00 NOT FOUND</v>
      </c>
      <c r="J73" t="str">
        <f>IF(A73="","",INDEX(Reference!C:C,MATCH(Data!H73,Reference!A:A,0),0))</f>
        <v/>
      </c>
      <c r="K73" t="str">
        <f t="shared" ref="K73:K134" ca="1" si="13">IF(A73="","",I73&amp;" Summary Reports - " &amp; TEXT(NOW(),"YYYY-MM-DD-HHMM"))</f>
        <v/>
      </c>
      <c r="L73" t="str">
        <f t="shared" ref="L73:L134" si="14">IF(A73="","","Hi, kindly refer to the attached. Thanks")</f>
        <v/>
      </c>
    </row>
    <row r="74" spans="1:12" x14ac:dyDescent="0.25">
      <c r="E74" s="56" t="str">
        <f t="shared" si="10"/>
        <v/>
      </c>
      <c r="F74" s="56" t="str">
        <f t="shared" si="11"/>
        <v/>
      </c>
      <c r="H74" t="str">
        <f t="shared" si="12"/>
        <v/>
      </c>
      <c r="I74" t="str">
        <f>IF(A74="","00 NOT FOUND",INDEX(Reference!B:B,MATCH(Data!H74,Reference!A:A,0),0))</f>
        <v>00 NOT FOUND</v>
      </c>
      <c r="J74" t="str">
        <f>IF(A74="","",INDEX(Reference!C:C,MATCH(Data!H74,Reference!A:A,0),0))</f>
        <v/>
      </c>
      <c r="K74" t="str">
        <f t="shared" ca="1" si="13"/>
        <v/>
      </c>
      <c r="L74" t="str">
        <f t="shared" si="14"/>
        <v/>
      </c>
    </row>
    <row r="75" spans="1:12" x14ac:dyDescent="0.25">
      <c r="E75" s="56" t="str">
        <f t="shared" si="10"/>
        <v/>
      </c>
      <c r="F75" s="56" t="str">
        <f t="shared" si="11"/>
        <v/>
      </c>
      <c r="H75" t="str">
        <f t="shared" si="12"/>
        <v/>
      </c>
      <c r="I75" t="str">
        <f>IF(A75="","00 NOT FOUND",INDEX(Reference!B:B,MATCH(Data!H75,Reference!A:A,0),0))</f>
        <v>00 NOT FOUND</v>
      </c>
      <c r="J75" t="str">
        <f>IF(A75="","",INDEX(Reference!C:C,MATCH(Data!H75,Reference!A:A,0),0))</f>
        <v/>
      </c>
      <c r="K75" t="str">
        <f t="shared" ca="1" si="13"/>
        <v/>
      </c>
      <c r="L75" t="str">
        <f t="shared" si="14"/>
        <v/>
      </c>
    </row>
    <row r="76" spans="1:12" x14ac:dyDescent="0.25">
      <c r="E76" s="56" t="str">
        <f t="shared" si="10"/>
        <v/>
      </c>
      <c r="F76" s="56" t="str">
        <f t="shared" si="11"/>
        <v/>
      </c>
      <c r="H76" t="str">
        <f t="shared" si="12"/>
        <v/>
      </c>
      <c r="I76" t="str">
        <f>IF(A76="","00 NOT FOUND",INDEX(Reference!B:B,MATCH(Data!H76,Reference!A:A,0),0))</f>
        <v>00 NOT FOUND</v>
      </c>
      <c r="J76" t="str">
        <f>IF(A76="","",INDEX(Reference!C:C,MATCH(Data!H76,Reference!A:A,0),0))</f>
        <v/>
      </c>
      <c r="K76" t="str">
        <f t="shared" ca="1" si="13"/>
        <v/>
      </c>
      <c r="L76" t="str">
        <f t="shared" si="14"/>
        <v/>
      </c>
    </row>
    <row r="77" spans="1:12" x14ac:dyDescent="0.25">
      <c r="E77" s="56" t="str">
        <f t="shared" si="10"/>
        <v/>
      </c>
      <c r="F77" s="56" t="str">
        <f t="shared" si="11"/>
        <v/>
      </c>
      <c r="H77" t="str">
        <f t="shared" si="12"/>
        <v/>
      </c>
      <c r="I77" t="str">
        <f>IF(A77="","00 NOT FOUND",INDEX(Reference!B:B,MATCH(Data!H77,Reference!A:A,0),0))</f>
        <v>00 NOT FOUND</v>
      </c>
      <c r="J77" t="str">
        <f>IF(A77="","",INDEX(Reference!C:C,MATCH(Data!H77,Reference!A:A,0),0))</f>
        <v/>
      </c>
      <c r="K77" t="str">
        <f t="shared" ca="1" si="13"/>
        <v/>
      </c>
      <c r="L77" t="str">
        <f t="shared" si="14"/>
        <v/>
      </c>
    </row>
    <row r="78" spans="1:12" x14ac:dyDescent="0.25">
      <c r="E78" s="56" t="str">
        <f t="shared" si="10"/>
        <v/>
      </c>
      <c r="F78" s="56" t="str">
        <f t="shared" si="11"/>
        <v/>
      </c>
      <c r="H78" t="str">
        <f t="shared" si="12"/>
        <v/>
      </c>
      <c r="I78" t="str">
        <f>IF(A78="","00 NOT FOUND",INDEX(Reference!B:B,MATCH(Data!H78,Reference!A:A,0),0))</f>
        <v>00 NOT FOUND</v>
      </c>
      <c r="J78" t="str">
        <f>IF(A78="","",INDEX(Reference!C:C,MATCH(Data!H78,Reference!A:A,0),0))</f>
        <v/>
      </c>
      <c r="K78" t="str">
        <f t="shared" ca="1" si="13"/>
        <v/>
      </c>
      <c r="L78" t="str">
        <f t="shared" si="14"/>
        <v/>
      </c>
    </row>
    <row r="79" spans="1:12" x14ac:dyDescent="0.25">
      <c r="E79" s="56" t="str">
        <f t="shared" si="10"/>
        <v/>
      </c>
      <c r="F79" s="56" t="str">
        <f t="shared" si="11"/>
        <v/>
      </c>
      <c r="H79" t="str">
        <f t="shared" si="12"/>
        <v/>
      </c>
      <c r="I79" t="str">
        <f>IF(A79="","00 NOT FOUND",INDEX(Reference!B:B,MATCH(Data!H79,Reference!A:A,0),0))</f>
        <v>00 NOT FOUND</v>
      </c>
      <c r="J79" t="str">
        <f>IF(A79="","",INDEX(Reference!C:C,MATCH(Data!H79,Reference!A:A,0),0))</f>
        <v/>
      </c>
      <c r="K79" t="str">
        <f t="shared" ca="1" si="13"/>
        <v/>
      </c>
      <c r="L79" t="str">
        <f t="shared" si="14"/>
        <v/>
      </c>
    </row>
    <row r="80" spans="1:12" x14ac:dyDescent="0.25">
      <c r="E80" s="56" t="str">
        <f t="shared" si="10"/>
        <v/>
      </c>
      <c r="F80" s="56" t="str">
        <f t="shared" si="11"/>
        <v/>
      </c>
      <c r="H80" t="str">
        <f t="shared" si="12"/>
        <v/>
      </c>
      <c r="I80" t="str">
        <f>IF(A80="","00 NOT FOUND",INDEX(Reference!B:B,MATCH(Data!H80,Reference!A:A,0),0))</f>
        <v>00 NOT FOUND</v>
      </c>
      <c r="J80" t="str">
        <f>IF(A80="","",INDEX(Reference!C:C,MATCH(Data!H80,Reference!A:A,0),0))</f>
        <v/>
      </c>
      <c r="K80" t="str">
        <f t="shared" ca="1" si="13"/>
        <v/>
      </c>
      <c r="L80" t="str">
        <f t="shared" si="14"/>
        <v/>
      </c>
    </row>
    <row r="81" spans="5:12" x14ac:dyDescent="0.25">
      <c r="E81" s="56" t="str">
        <f t="shared" si="10"/>
        <v/>
      </c>
      <c r="F81" s="56" t="str">
        <f t="shared" si="11"/>
        <v/>
      </c>
      <c r="H81" t="str">
        <f t="shared" si="12"/>
        <v/>
      </c>
      <c r="I81" t="str">
        <f>IF(A81="","00 NOT FOUND",INDEX(Reference!B:B,MATCH(Data!H81,Reference!A:A,0),0))</f>
        <v>00 NOT FOUND</v>
      </c>
      <c r="J81" t="str">
        <f>IF(A81="","",INDEX(Reference!C:C,MATCH(Data!H81,Reference!A:A,0),0))</f>
        <v/>
      </c>
      <c r="K81" t="str">
        <f t="shared" ca="1" si="13"/>
        <v/>
      </c>
      <c r="L81" t="str">
        <f t="shared" si="14"/>
        <v/>
      </c>
    </row>
    <row r="82" spans="5:12" x14ac:dyDescent="0.25">
      <c r="E82" s="56" t="str">
        <f t="shared" si="10"/>
        <v/>
      </c>
      <c r="F82" s="56" t="str">
        <f t="shared" si="11"/>
        <v/>
      </c>
      <c r="H82" t="str">
        <f t="shared" si="12"/>
        <v/>
      </c>
      <c r="I82" t="str">
        <f>IF(A82="","00 NOT FOUND",INDEX(Reference!B:B,MATCH(Data!H82,Reference!A:A,0),0))</f>
        <v>00 NOT FOUND</v>
      </c>
      <c r="J82" t="str">
        <f>IF(A82="","",INDEX(Reference!C:C,MATCH(Data!H82,Reference!A:A,0),0))</f>
        <v/>
      </c>
      <c r="K82" t="str">
        <f t="shared" ca="1" si="13"/>
        <v/>
      </c>
      <c r="L82" t="str">
        <f t="shared" si="14"/>
        <v/>
      </c>
    </row>
    <row r="83" spans="5:12" x14ac:dyDescent="0.25">
      <c r="E83" s="56" t="str">
        <f t="shared" si="10"/>
        <v/>
      </c>
      <c r="F83" s="56" t="str">
        <f t="shared" si="11"/>
        <v/>
      </c>
      <c r="H83" t="str">
        <f t="shared" si="12"/>
        <v/>
      </c>
      <c r="I83" t="str">
        <f>IF(A83="","00 NOT FOUND",INDEX(Reference!B:B,MATCH(Data!H83,Reference!A:A,0),0))</f>
        <v>00 NOT FOUND</v>
      </c>
      <c r="J83" t="str">
        <f>IF(A83="","",INDEX(Reference!C:C,MATCH(Data!H83,Reference!A:A,0),0))</f>
        <v/>
      </c>
      <c r="K83" t="str">
        <f t="shared" ca="1" si="13"/>
        <v/>
      </c>
      <c r="L83" t="str">
        <f t="shared" si="14"/>
        <v/>
      </c>
    </row>
    <row r="84" spans="5:12" x14ac:dyDescent="0.25">
      <c r="E84" s="56" t="str">
        <f t="shared" si="10"/>
        <v/>
      </c>
      <c r="F84" s="56" t="str">
        <f t="shared" si="11"/>
        <v/>
      </c>
      <c r="H84" t="str">
        <f t="shared" si="12"/>
        <v/>
      </c>
      <c r="I84" t="str">
        <f>IF(A84="","00 NOT FOUND",INDEX(Reference!B:B,MATCH(Data!H84,Reference!A:A,0),0))</f>
        <v>00 NOT FOUND</v>
      </c>
      <c r="J84" t="str">
        <f>IF(A84="","",INDEX(Reference!C:C,MATCH(Data!H84,Reference!A:A,0),0))</f>
        <v/>
      </c>
      <c r="K84" t="str">
        <f t="shared" ca="1" si="13"/>
        <v/>
      </c>
      <c r="L84" t="str">
        <f t="shared" si="14"/>
        <v/>
      </c>
    </row>
    <row r="85" spans="5:12" x14ac:dyDescent="0.25">
      <c r="E85" s="56" t="str">
        <f t="shared" si="10"/>
        <v/>
      </c>
      <c r="F85" s="56" t="str">
        <f t="shared" si="11"/>
        <v/>
      </c>
      <c r="H85" t="str">
        <f t="shared" si="12"/>
        <v/>
      </c>
      <c r="I85" t="str">
        <f>IF(A85="","00 NOT FOUND",INDEX(Reference!B:B,MATCH(Data!H85,Reference!A:A,0),0))</f>
        <v>00 NOT FOUND</v>
      </c>
      <c r="J85" t="str">
        <f>IF(A85="","",INDEX(Reference!C:C,MATCH(Data!H85,Reference!A:A,0),0))</f>
        <v/>
      </c>
      <c r="K85" t="str">
        <f t="shared" ca="1" si="13"/>
        <v/>
      </c>
      <c r="L85" t="str">
        <f t="shared" si="14"/>
        <v/>
      </c>
    </row>
    <row r="86" spans="5:12" x14ac:dyDescent="0.25">
      <c r="E86" s="56" t="str">
        <f t="shared" si="10"/>
        <v/>
      </c>
      <c r="F86" s="56" t="str">
        <f t="shared" si="11"/>
        <v/>
      </c>
      <c r="H86" t="str">
        <f t="shared" si="12"/>
        <v/>
      </c>
      <c r="I86" t="str">
        <f>IF(A86="","00 NOT FOUND",INDEX(Reference!B:B,MATCH(Data!H86,Reference!A:A,0),0))</f>
        <v>00 NOT FOUND</v>
      </c>
      <c r="J86" t="str">
        <f>IF(A86="","",INDEX(Reference!C:C,MATCH(Data!H86,Reference!A:A,0),0))</f>
        <v/>
      </c>
      <c r="K86" t="str">
        <f t="shared" ca="1" si="13"/>
        <v/>
      </c>
      <c r="L86" t="str">
        <f t="shared" si="14"/>
        <v/>
      </c>
    </row>
    <row r="87" spans="5:12" x14ac:dyDescent="0.25">
      <c r="E87" s="56" t="str">
        <f t="shared" si="10"/>
        <v/>
      </c>
      <c r="F87" s="56" t="str">
        <f t="shared" si="11"/>
        <v/>
      </c>
      <c r="H87" t="str">
        <f t="shared" si="12"/>
        <v/>
      </c>
      <c r="I87" t="str">
        <f>IF(A87="","00 NOT FOUND",INDEX(Reference!B:B,MATCH(Data!H87,Reference!A:A,0),0))</f>
        <v>00 NOT FOUND</v>
      </c>
      <c r="J87" t="str">
        <f>IF(A87="","",INDEX(Reference!C:C,MATCH(Data!H87,Reference!A:A,0),0))</f>
        <v/>
      </c>
      <c r="K87" t="str">
        <f t="shared" ca="1" si="13"/>
        <v/>
      </c>
      <c r="L87" t="str">
        <f t="shared" si="14"/>
        <v/>
      </c>
    </row>
    <row r="88" spans="5:12" x14ac:dyDescent="0.25">
      <c r="E88" s="56" t="str">
        <f t="shared" si="10"/>
        <v/>
      </c>
      <c r="F88" s="56" t="str">
        <f t="shared" si="11"/>
        <v/>
      </c>
      <c r="H88" t="str">
        <f t="shared" si="12"/>
        <v/>
      </c>
      <c r="I88" t="str">
        <f>IF(A88="","00 NOT FOUND",INDEX(Reference!B:B,MATCH(Data!H88,Reference!A:A,0),0))</f>
        <v>00 NOT FOUND</v>
      </c>
      <c r="J88" t="str">
        <f>IF(A88="","",INDEX(Reference!C:C,MATCH(Data!H88,Reference!A:A,0),0))</f>
        <v/>
      </c>
      <c r="K88" t="str">
        <f t="shared" ca="1" si="13"/>
        <v/>
      </c>
      <c r="L88" t="str">
        <f t="shared" si="14"/>
        <v/>
      </c>
    </row>
    <row r="89" spans="5:12" x14ac:dyDescent="0.25">
      <c r="E89" s="56" t="str">
        <f t="shared" si="10"/>
        <v/>
      </c>
      <c r="F89" s="56" t="str">
        <f t="shared" si="11"/>
        <v/>
      </c>
      <c r="H89" t="str">
        <f t="shared" si="12"/>
        <v/>
      </c>
      <c r="I89" t="str">
        <f>IF(A89="","00 NOT FOUND",INDEX(Reference!B:B,MATCH(Data!H89,Reference!A:A,0),0))</f>
        <v>00 NOT FOUND</v>
      </c>
      <c r="J89" t="str">
        <f>IF(A89="","",INDEX(Reference!C:C,MATCH(Data!H89,Reference!A:A,0),0))</f>
        <v/>
      </c>
      <c r="K89" t="str">
        <f t="shared" ca="1" si="13"/>
        <v/>
      </c>
      <c r="L89" t="str">
        <f t="shared" si="14"/>
        <v/>
      </c>
    </row>
    <row r="90" spans="5:12" x14ac:dyDescent="0.25">
      <c r="E90" s="56" t="str">
        <f t="shared" si="10"/>
        <v/>
      </c>
      <c r="F90" s="56" t="str">
        <f t="shared" si="11"/>
        <v/>
      </c>
      <c r="H90" t="str">
        <f t="shared" si="12"/>
        <v/>
      </c>
      <c r="I90" t="str">
        <f>IF(A90="","00 NOT FOUND",INDEX(Reference!B:B,MATCH(Data!H90,Reference!A:A,0),0))</f>
        <v>00 NOT FOUND</v>
      </c>
      <c r="J90" t="str">
        <f>IF(A90="","",INDEX(Reference!C:C,MATCH(Data!H90,Reference!A:A,0),0))</f>
        <v/>
      </c>
      <c r="K90" t="str">
        <f t="shared" ca="1" si="13"/>
        <v/>
      </c>
      <c r="L90" t="str">
        <f t="shared" si="14"/>
        <v/>
      </c>
    </row>
    <row r="91" spans="5:12" x14ac:dyDescent="0.25">
      <c r="E91" s="56" t="str">
        <f t="shared" si="10"/>
        <v/>
      </c>
      <c r="F91" s="56" t="str">
        <f t="shared" si="11"/>
        <v/>
      </c>
      <c r="H91" t="str">
        <f t="shared" si="12"/>
        <v/>
      </c>
      <c r="I91" t="str">
        <f>IF(A91="","00 NOT FOUND",INDEX(Reference!B:B,MATCH(Data!H91,Reference!A:A,0),0))</f>
        <v>00 NOT FOUND</v>
      </c>
      <c r="J91" t="str">
        <f>IF(A91="","",INDEX(Reference!C:C,MATCH(Data!H91,Reference!A:A,0),0))</f>
        <v/>
      </c>
      <c r="K91" t="str">
        <f t="shared" ca="1" si="13"/>
        <v/>
      </c>
      <c r="L91" t="str">
        <f t="shared" si="14"/>
        <v/>
      </c>
    </row>
    <row r="92" spans="5:12" x14ac:dyDescent="0.25">
      <c r="E92" s="56" t="str">
        <f t="shared" si="10"/>
        <v/>
      </c>
      <c r="F92" s="56" t="str">
        <f t="shared" si="11"/>
        <v/>
      </c>
      <c r="H92" t="str">
        <f t="shared" si="12"/>
        <v/>
      </c>
      <c r="I92" t="str">
        <f>IF(A92="","00 NOT FOUND",INDEX(Reference!B:B,MATCH(Data!H92,Reference!A:A,0),0))</f>
        <v>00 NOT FOUND</v>
      </c>
      <c r="J92" t="str">
        <f>IF(A92="","",INDEX(Reference!C:C,MATCH(Data!H92,Reference!A:A,0),0))</f>
        <v/>
      </c>
      <c r="K92" t="str">
        <f t="shared" ca="1" si="13"/>
        <v/>
      </c>
      <c r="L92" t="str">
        <f t="shared" si="14"/>
        <v/>
      </c>
    </row>
    <row r="93" spans="5:12" x14ac:dyDescent="0.25">
      <c r="E93" s="56" t="str">
        <f t="shared" si="10"/>
        <v/>
      </c>
      <c r="F93" s="56" t="str">
        <f t="shared" si="11"/>
        <v/>
      </c>
      <c r="H93" t="str">
        <f t="shared" si="12"/>
        <v/>
      </c>
      <c r="I93" t="str">
        <f>IF(A93="","00 NOT FOUND",INDEX(Reference!B:B,MATCH(Data!H93,Reference!A:A,0),0))</f>
        <v>00 NOT FOUND</v>
      </c>
      <c r="J93" t="str">
        <f>IF(A93="","",INDEX(Reference!C:C,MATCH(Data!H93,Reference!A:A,0),0))</f>
        <v/>
      </c>
      <c r="K93" t="str">
        <f t="shared" ca="1" si="13"/>
        <v/>
      </c>
      <c r="L93" t="str">
        <f t="shared" si="14"/>
        <v/>
      </c>
    </row>
    <row r="94" spans="5:12" x14ac:dyDescent="0.25">
      <c r="E94" s="56" t="str">
        <f t="shared" si="10"/>
        <v/>
      </c>
      <c r="F94" s="56" t="str">
        <f t="shared" si="11"/>
        <v/>
      </c>
      <c r="H94" t="str">
        <f t="shared" si="12"/>
        <v/>
      </c>
      <c r="I94" t="str">
        <f>IF(A94="","00 NOT FOUND",INDEX(Reference!B:B,MATCH(Data!H94,Reference!A:A,0),0))</f>
        <v>00 NOT FOUND</v>
      </c>
      <c r="J94" t="str">
        <f>IF(A94="","",INDEX(Reference!C:C,MATCH(Data!H94,Reference!A:A,0),0))</f>
        <v/>
      </c>
      <c r="K94" t="str">
        <f t="shared" ca="1" si="13"/>
        <v/>
      </c>
      <c r="L94" t="str">
        <f t="shared" si="14"/>
        <v/>
      </c>
    </row>
    <row r="95" spans="5:12" x14ac:dyDescent="0.25">
      <c r="E95" s="56" t="str">
        <f t="shared" si="10"/>
        <v/>
      </c>
      <c r="F95" s="56" t="str">
        <f t="shared" si="11"/>
        <v/>
      </c>
      <c r="H95" t="str">
        <f t="shared" si="12"/>
        <v/>
      </c>
      <c r="I95" t="str">
        <f>IF(A95="","00 NOT FOUND",INDEX(Reference!B:B,MATCH(Data!H95,Reference!A:A,0),0))</f>
        <v>00 NOT FOUND</v>
      </c>
      <c r="J95" t="str">
        <f>IF(A95="","",INDEX(Reference!C:C,MATCH(Data!H95,Reference!A:A,0),0))</f>
        <v/>
      </c>
      <c r="K95" t="str">
        <f t="shared" ca="1" si="13"/>
        <v/>
      </c>
      <c r="L95" t="str">
        <f t="shared" si="14"/>
        <v/>
      </c>
    </row>
    <row r="96" spans="5:12" x14ac:dyDescent="0.25">
      <c r="E96" s="56" t="str">
        <f t="shared" si="10"/>
        <v/>
      </c>
      <c r="F96" s="56" t="str">
        <f t="shared" si="11"/>
        <v/>
      </c>
      <c r="H96" t="str">
        <f t="shared" si="12"/>
        <v/>
      </c>
      <c r="I96" t="str">
        <f>IF(A96="","00 NOT FOUND",INDEX(Reference!B:B,MATCH(Data!H96,Reference!A:A,0),0))</f>
        <v>00 NOT FOUND</v>
      </c>
      <c r="J96" t="str">
        <f>IF(A96="","",INDEX(Reference!C:C,MATCH(Data!H96,Reference!A:A,0),0))</f>
        <v/>
      </c>
      <c r="K96" t="str">
        <f t="shared" ca="1" si="13"/>
        <v/>
      </c>
      <c r="L96" t="str">
        <f t="shared" si="14"/>
        <v/>
      </c>
    </row>
    <row r="97" spans="5:12" x14ac:dyDescent="0.25">
      <c r="E97" s="56" t="str">
        <f t="shared" si="10"/>
        <v/>
      </c>
      <c r="F97" s="56" t="str">
        <f t="shared" si="11"/>
        <v/>
      </c>
      <c r="H97" t="str">
        <f t="shared" si="12"/>
        <v/>
      </c>
      <c r="I97" t="str">
        <f>IF(A97="","00 NOT FOUND",INDEX(Reference!B:B,MATCH(Data!H97,Reference!A:A,0),0))</f>
        <v>00 NOT FOUND</v>
      </c>
      <c r="J97" t="str">
        <f>IF(A97="","",INDEX(Reference!C:C,MATCH(Data!H97,Reference!A:A,0),0))</f>
        <v/>
      </c>
      <c r="K97" t="str">
        <f t="shared" ca="1" si="13"/>
        <v/>
      </c>
      <c r="L97" t="str">
        <f t="shared" si="14"/>
        <v/>
      </c>
    </row>
    <row r="98" spans="5:12" x14ac:dyDescent="0.25">
      <c r="E98" s="56" t="str">
        <f t="shared" si="10"/>
        <v/>
      </c>
      <c r="F98" s="56" t="str">
        <f t="shared" si="11"/>
        <v/>
      </c>
      <c r="H98" t="str">
        <f t="shared" si="12"/>
        <v/>
      </c>
      <c r="I98" t="str">
        <f>IF(A98="","00 NOT FOUND",INDEX(Reference!B:B,MATCH(Data!H98,Reference!A:A,0),0))</f>
        <v>00 NOT FOUND</v>
      </c>
      <c r="J98" t="str">
        <f>IF(A98="","",INDEX(Reference!C:C,MATCH(Data!H98,Reference!A:A,0),0))</f>
        <v/>
      </c>
      <c r="K98" t="str">
        <f t="shared" ca="1" si="13"/>
        <v/>
      </c>
      <c r="L98" t="str">
        <f t="shared" si="14"/>
        <v/>
      </c>
    </row>
    <row r="99" spans="5:12" x14ac:dyDescent="0.25">
      <c r="E99" s="56" t="str">
        <f t="shared" si="10"/>
        <v/>
      </c>
      <c r="F99" s="56" t="str">
        <f t="shared" si="11"/>
        <v/>
      </c>
      <c r="H99" t="str">
        <f t="shared" si="12"/>
        <v/>
      </c>
      <c r="I99" t="str">
        <f>IF(A99="","00 NOT FOUND",INDEX(Reference!B:B,MATCH(Data!H99,Reference!A:A,0),0))</f>
        <v>00 NOT FOUND</v>
      </c>
      <c r="J99" t="str">
        <f>IF(A99="","",INDEX(Reference!C:C,MATCH(Data!H99,Reference!A:A,0),0))</f>
        <v/>
      </c>
      <c r="K99" t="str">
        <f t="shared" ca="1" si="13"/>
        <v/>
      </c>
      <c r="L99" t="str">
        <f t="shared" si="14"/>
        <v/>
      </c>
    </row>
    <row r="100" spans="5:12" x14ac:dyDescent="0.25">
      <c r="E100" s="56" t="str">
        <f t="shared" si="10"/>
        <v/>
      </c>
      <c r="F100" s="56" t="str">
        <f t="shared" si="11"/>
        <v/>
      </c>
      <c r="H100" t="str">
        <f t="shared" si="12"/>
        <v/>
      </c>
      <c r="I100" t="str">
        <f>IF(A100="","00 NOT FOUND",INDEX(Reference!B:B,MATCH(Data!H100,Reference!A:A,0),0))</f>
        <v>00 NOT FOUND</v>
      </c>
      <c r="J100" t="str">
        <f>IF(A100="","",INDEX(Reference!C:C,MATCH(Data!H100,Reference!A:A,0),0))</f>
        <v/>
      </c>
      <c r="K100" t="str">
        <f t="shared" ca="1" si="13"/>
        <v/>
      </c>
      <c r="L100" t="str">
        <f t="shared" si="14"/>
        <v/>
      </c>
    </row>
    <row r="101" spans="5:12" x14ac:dyDescent="0.25">
      <c r="E101" s="56" t="str">
        <f t="shared" si="10"/>
        <v/>
      </c>
      <c r="F101" s="56" t="str">
        <f t="shared" si="11"/>
        <v/>
      </c>
      <c r="H101" t="str">
        <f t="shared" si="12"/>
        <v/>
      </c>
      <c r="I101" t="str">
        <f>IF(A101="","00 NOT FOUND",INDEX(Reference!B:B,MATCH(Data!H101,Reference!A:A,0),0))</f>
        <v>00 NOT FOUND</v>
      </c>
      <c r="J101" t="str">
        <f>IF(A101="","",INDEX(Reference!C:C,MATCH(Data!H101,Reference!A:A,0),0))</f>
        <v/>
      </c>
      <c r="K101" t="str">
        <f t="shared" ca="1" si="13"/>
        <v/>
      </c>
      <c r="L101" t="str">
        <f t="shared" si="14"/>
        <v/>
      </c>
    </row>
    <row r="102" spans="5:12" x14ac:dyDescent="0.25">
      <c r="E102" s="56" t="str">
        <f t="shared" si="10"/>
        <v/>
      </c>
      <c r="F102" s="56" t="str">
        <f t="shared" si="11"/>
        <v/>
      </c>
      <c r="H102" t="str">
        <f t="shared" si="12"/>
        <v/>
      </c>
      <c r="I102" t="str">
        <f>IF(A102="","00 NOT FOUND",INDEX(Reference!B:B,MATCH(Data!H102,Reference!A:A,0),0))</f>
        <v>00 NOT FOUND</v>
      </c>
      <c r="J102" t="str">
        <f>IF(A102="","",INDEX(Reference!C:C,MATCH(Data!H102,Reference!A:A,0),0))</f>
        <v/>
      </c>
      <c r="K102" t="str">
        <f t="shared" ca="1" si="13"/>
        <v/>
      </c>
      <c r="L102" t="str">
        <f t="shared" si="14"/>
        <v/>
      </c>
    </row>
    <row r="103" spans="5:12" x14ac:dyDescent="0.25">
      <c r="E103" s="56" t="str">
        <f t="shared" si="10"/>
        <v/>
      </c>
      <c r="F103" s="56" t="str">
        <f t="shared" si="11"/>
        <v/>
      </c>
      <c r="H103" t="str">
        <f t="shared" si="12"/>
        <v/>
      </c>
      <c r="I103" t="str">
        <f>IF(A103="","00 NOT FOUND",INDEX(Reference!B:B,MATCH(Data!H103,Reference!A:A,0),0))</f>
        <v>00 NOT FOUND</v>
      </c>
      <c r="J103" t="str">
        <f>IF(A103="","",INDEX(Reference!C:C,MATCH(Data!H103,Reference!A:A,0),0))</f>
        <v/>
      </c>
      <c r="K103" t="str">
        <f t="shared" ca="1" si="13"/>
        <v/>
      </c>
      <c r="L103" t="str">
        <f t="shared" si="14"/>
        <v/>
      </c>
    </row>
    <row r="104" spans="5:12" x14ac:dyDescent="0.25">
      <c r="E104" s="56" t="str">
        <f t="shared" si="10"/>
        <v/>
      </c>
      <c r="F104" s="56" t="str">
        <f t="shared" si="11"/>
        <v/>
      </c>
      <c r="H104" t="str">
        <f t="shared" si="12"/>
        <v/>
      </c>
      <c r="I104" t="str">
        <f>IF(A104="","00 NOT FOUND",INDEX(Reference!B:B,MATCH(Data!H104,Reference!A:A,0),0))</f>
        <v>00 NOT FOUND</v>
      </c>
      <c r="J104" t="str">
        <f>IF(A104="","",INDEX(Reference!C:C,MATCH(Data!H104,Reference!A:A,0),0))</f>
        <v/>
      </c>
      <c r="K104" t="str">
        <f t="shared" ca="1" si="13"/>
        <v/>
      </c>
      <c r="L104" t="str">
        <f t="shared" si="14"/>
        <v/>
      </c>
    </row>
    <row r="105" spans="5:12" x14ac:dyDescent="0.25">
      <c r="E105" s="56" t="str">
        <f t="shared" si="10"/>
        <v/>
      </c>
      <c r="F105" s="56" t="str">
        <f t="shared" si="11"/>
        <v/>
      </c>
      <c r="H105" t="str">
        <f t="shared" si="12"/>
        <v/>
      </c>
      <c r="I105" t="str">
        <f>IF(A105="","00 NOT FOUND",INDEX(Reference!B:B,MATCH(Data!H105,Reference!A:A,0),0))</f>
        <v>00 NOT FOUND</v>
      </c>
      <c r="J105" t="str">
        <f>IF(A105="","",INDEX(Reference!C:C,MATCH(Data!H105,Reference!A:A,0),0))</f>
        <v/>
      </c>
      <c r="K105" t="str">
        <f t="shared" ca="1" si="13"/>
        <v/>
      </c>
      <c r="L105" t="str">
        <f t="shared" si="14"/>
        <v/>
      </c>
    </row>
    <row r="106" spans="5:12" x14ac:dyDescent="0.25">
      <c r="E106" s="56" t="str">
        <f t="shared" si="10"/>
        <v/>
      </c>
      <c r="F106" s="56" t="str">
        <f t="shared" si="11"/>
        <v/>
      </c>
      <c r="H106" t="str">
        <f t="shared" si="12"/>
        <v/>
      </c>
      <c r="I106" t="str">
        <f>IF(A106="","00 NOT FOUND",INDEX(Reference!B:B,MATCH(Data!H106,Reference!A:A,0),0))</f>
        <v>00 NOT FOUND</v>
      </c>
      <c r="J106" t="str">
        <f>IF(A106="","",INDEX(Reference!C:C,MATCH(Data!H106,Reference!A:A,0),0))</f>
        <v/>
      </c>
      <c r="K106" t="str">
        <f t="shared" ca="1" si="13"/>
        <v/>
      </c>
      <c r="L106" t="str">
        <f t="shared" si="14"/>
        <v/>
      </c>
    </row>
    <row r="107" spans="5:12" x14ac:dyDescent="0.25">
      <c r="E107" s="56" t="str">
        <f t="shared" si="10"/>
        <v/>
      </c>
      <c r="F107" s="56" t="str">
        <f t="shared" si="11"/>
        <v/>
      </c>
      <c r="H107" t="str">
        <f t="shared" si="12"/>
        <v/>
      </c>
      <c r="I107" t="str">
        <f>IF(A107="","00 NOT FOUND",INDEX(Reference!B:B,MATCH(Data!H107,Reference!A:A,0),0))</f>
        <v>00 NOT FOUND</v>
      </c>
      <c r="J107" t="str">
        <f>IF(A107="","",INDEX(Reference!C:C,MATCH(Data!H107,Reference!A:A,0),0))</f>
        <v/>
      </c>
      <c r="K107" t="str">
        <f t="shared" ca="1" si="13"/>
        <v/>
      </c>
      <c r="L107" t="str">
        <f t="shared" si="14"/>
        <v/>
      </c>
    </row>
    <row r="108" spans="5:12" x14ac:dyDescent="0.25">
      <c r="E108" s="56" t="str">
        <f t="shared" si="10"/>
        <v/>
      </c>
      <c r="F108" s="56" t="str">
        <f t="shared" si="11"/>
        <v/>
      </c>
      <c r="H108" t="str">
        <f t="shared" si="12"/>
        <v/>
      </c>
      <c r="I108" t="str">
        <f>IF(A108="","00 NOT FOUND",INDEX(Reference!B:B,MATCH(Data!H108,Reference!A:A,0),0))</f>
        <v>00 NOT FOUND</v>
      </c>
      <c r="J108" t="str">
        <f>IF(A108="","",INDEX(Reference!C:C,MATCH(Data!H108,Reference!A:A,0),0))</f>
        <v/>
      </c>
      <c r="K108" t="str">
        <f t="shared" ca="1" si="13"/>
        <v/>
      </c>
      <c r="L108" t="str">
        <f t="shared" si="14"/>
        <v/>
      </c>
    </row>
    <row r="109" spans="5:12" x14ac:dyDescent="0.25">
      <c r="E109" s="56" t="str">
        <f t="shared" si="10"/>
        <v/>
      </c>
      <c r="F109" s="56" t="str">
        <f t="shared" si="11"/>
        <v/>
      </c>
      <c r="H109" t="str">
        <f t="shared" si="12"/>
        <v/>
      </c>
      <c r="I109" t="str">
        <f>IF(A109="","00 NOT FOUND",INDEX(Reference!B:B,MATCH(Data!H109,Reference!A:A,0),0))</f>
        <v>00 NOT FOUND</v>
      </c>
      <c r="J109" t="str">
        <f>IF(A109="","",INDEX(Reference!C:C,MATCH(Data!H109,Reference!A:A,0),0))</f>
        <v/>
      </c>
      <c r="K109" t="str">
        <f t="shared" ca="1" si="13"/>
        <v/>
      </c>
      <c r="L109" t="str">
        <f t="shared" si="14"/>
        <v/>
      </c>
    </row>
    <row r="110" spans="5:12" x14ac:dyDescent="0.25">
      <c r="E110" s="56" t="str">
        <f t="shared" si="10"/>
        <v/>
      </c>
      <c r="F110" s="56" t="str">
        <f t="shared" si="11"/>
        <v/>
      </c>
      <c r="H110" t="str">
        <f t="shared" si="12"/>
        <v/>
      </c>
      <c r="I110" t="str">
        <f>IF(A110="","00 NOT FOUND",INDEX(Reference!B:B,MATCH(Data!H110,Reference!A:A,0),0))</f>
        <v>00 NOT FOUND</v>
      </c>
      <c r="J110" t="str">
        <f>IF(A110="","",INDEX(Reference!C:C,MATCH(Data!H110,Reference!A:A,0),0))</f>
        <v/>
      </c>
      <c r="K110" t="str">
        <f t="shared" ca="1" si="13"/>
        <v/>
      </c>
      <c r="L110" t="str">
        <f t="shared" si="14"/>
        <v/>
      </c>
    </row>
    <row r="111" spans="5:12" x14ac:dyDescent="0.25">
      <c r="E111" s="56" t="str">
        <f t="shared" si="10"/>
        <v/>
      </c>
      <c r="F111" s="56" t="str">
        <f t="shared" si="11"/>
        <v/>
      </c>
      <c r="H111" t="str">
        <f t="shared" si="12"/>
        <v/>
      </c>
      <c r="I111" t="str">
        <f>IF(A111="","00 NOT FOUND",INDEX(Reference!B:B,MATCH(Data!H111,Reference!A:A,0),0))</f>
        <v>00 NOT FOUND</v>
      </c>
      <c r="J111" t="str">
        <f>IF(A111="","",INDEX(Reference!C:C,MATCH(Data!H111,Reference!A:A,0),0))</f>
        <v/>
      </c>
      <c r="K111" t="str">
        <f t="shared" ca="1" si="13"/>
        <v/>
      </c>
      <c r="L111" t="str">
        <f t="shared" si="14"/>
        <v/>
      </c>
    </row>
    <row r="112" spans="5:12" x14ac:dyDescent="0.25">
      <c r="E112" s="56" t="str">
        <f t="shared" si="10"/>
        <v/>
      </c>
      <c r="F112" s="56" t="str">
        <f t="shared" si="11"/>
        <v/>
      </c>
      <c r="H112" t="str">
        <f t="shared" si="12"/>
        <v/>
      </c>
      <c r="I112" t="str">
        <f>IF(A112="","00 NOT FOUND",INDEX(Reference!B:B,MATCH(Data!H112,Reference!A:A,0),0))</f>
        <v>00 NOT FOUND</v>
      </c>
      <c r="J112" t="str">
        <f>IF(A112="","",INDEX(Reference!C:C,MATCH(Data!H112,Reference!A:A,0),0))</f>
        <v/>
      </c>
      <c r="K112" t="str">
        <f t="shared" ca="1" si="13"/>
        <v/>
      </c>
      <c r="L112" t="str">
        <f t="shared" si="14"/>
        <v/>
      </c>
    </row>
    <row r="113" spans="5:12" x14ac:dyDescent="0.25">
      <c r="E113" s="56" t="str">
        <f t="shared" si="10"/>
        <v/>
      </c>
      <c r="F113" s="56" t="str">
        <f t="shared" si="11"/>
        <v/>
      </c>
      <c r="H113" t="str">
        <f t="shared" si="12"/>
        <v/>
      </c>
      <c r="I113" t="str">
        <f>IF(A113="","00 NOT FOUND",INDEX(Reference!B:B,MATCH(Data!H113,Reference!A:A,0),0))</f>
        <v>00 NOT FOUND</v>
      </c>
      <c r="J113" t="str">
        <f>IF(A113="","",INDEX(Reference!C:C,MATCH(Data!H113,Reference!A:A,0),0))</f>
        <v/>
      </c>
      <c r="K113" t="str">
        <f t="shared" ca="1" si="13"/>
        <v/>
      </c>
      <c r="L113" t="str">
        <f t="shared" si="14"/>
        <v/>
      </c>
    </row>
    <row r="114" spans="5:12" x14ac:dyDescent="0.25">
      <c r="E114" s="56" t="str">
        <f t="shared" si="10"/>
        <v/>
      </c>
      <c r="F114" s="56" t="str">
        <f t="shared" si="11"/>
        <v/>
      </c>
      <c r="H114" t="str">
        <f t="shared" si="12"/>
        <v/>
      </c>
      <c r="I114" t="str">
        <f>IF(A114="","00 NOT FOUND",INDEX(Reference!B:B,MATCH(Data!H114,Reference!A:A,0),0))</f>
        <v>00 NOT FOUND</v>
      </c>
      <c r="J114" t="str">
        <f>IF(A114="","",INDEX(Reference!C:C,MATCH(Data!H114,Reference!A:A,0),0))</f>
        <v/>
      </c>
      <c r="K114" t="str">
        <f t="shared" ca="1" si="13"/>
        <v/>
      </c>
      <c r="L114" t="str">
        <f t="shared" si="14"/>
        <v/>
      </c>
    </row>
    <row r="115" spans="5:12" x14ac:dyDescent="0.25">
      <c r="E115" s="56" t="str">
        <f t="shared" si="10"/>
        <v/>
      </c>
      <c r="F115" s="56" t="str">
        <f t="shared" si="11"/>
        <v/>
      </c>
      <c r="H115" t="str">
        <f t="shared" si="12"/>
        <v/>
      </c>
      <c r="I115" t="str">
        <f>IF(A115="","00 NOT FOUND",INDEX(Reference!B:B,MATCH(Data!H115,Reference!A:A,0),0))</f>
        <v>00 NOT FOUND</v>
      </c>
      <c r="J115" t="str">
        <f>IF(A115="","",INDEX(Reference!C:C,MATCH(Data!H115,Reference!A:A,0),0))</f>
        <v/>
      </c>
      <c r="K115" t="str">
        <f t="shared" ca="1" si="13"/>
        <v/>
      </c>
      <c r="L115" t="str">
        <f t="shared" si="14"/>
        <v/>
      </c>
    </row>
    <row r="116" spans="5:12" x14ac:dyDescent="0.25">
      <c r="E116" s="56" t="str">
        <f t="shared" si="10"/>
        <v/>
      </c>
      <c r="F116" s="56" t="str">
        <f t="shared" si="11"/>
        <v/>
      </c>
      <c r="H116" t="str">
        <f t="shared" si="12"/>
        <v/>
      </c>
      <c r="I116" t="str">
        <f>IF(A116="","00 NOT FOUND",INDEX(Reference!B:B,MATCH(Data!H116,Reference!A:A,0),0))</f>
        <v>00 NOT FOUND</v>
      </c>
      <c r="J116" t="str">
        <f>IF(A116="","",INDEX(Reference!C:C,MATCH(Data!H116,Reference!A:A,0),0))</f>
        <v/>
      </c>
      <c r="K116" t="str">
        <f t="shared" ca="1" si="13"/>
        <v/>
      </c>
      <c r="L116" t="str">
        <f t="shared" si="14"/>
        <v/>
      </c>
    </row>
    <row r="117" spans="5:12" x14ac:dyDescent="0.25">
      <c r="E117" s="56" t="str">
        <f t="shared" si="10"/>
        <v/>
      </c>
      <c r="F117" s="56" t="str">
        <f t="shared" si="11"/>
        <v/>
      </c>
      <c r="H117" t="str">
        <f t="shared" si="12"/>
        <v/>
      </c>
      <c r="I117" t="str">
        <f>IF(A117="","00 NOT FOUND",INDEX(Reference!B:B,MATCH(Data!H117,Reference!A:A,0),0))</f>
        <v>00 NOT FOUND</v>
      </c>
      <c r="J117" t="str">
        <f>IF(A117="","",INDEX(Reference!C:C,MATCH(Data!H117,Reference!A:A,0),0))</f>
        <v/>
      </c>
      <c r="K117" t="str">
        <f t="shared" ca="1" si="13"/>
        <v/>
      </c>
      <c r="L117" t="str">
        <f t="shared" si="14"/>
        <v/>
      </c>
    </row>
    <row r="118" spans="5:12" x14ac:dyDescent="0.25">
      <c r="E118" s="56" t="str">
        <f t="shared" si="10"/>
        <v/>
      </c>
      <c r="F118" s="56" t="str">
        <f t="shared" si="11"/>
        <v/>
      </c>
      <c r="H118" t="str">
        <f t="shared" si="12"/>
        <v/>
      </c>
      <c r="I118" t="str">
        <f>IF(A118="","00 NOT FOUND",INDEX(Reference!B:B,MATCH(Data!H118,Reference!A:A,0),0))</f>
        <v>00 NOT FOUND</v>
      </c>
      <c r="J118" t="str">
        <f>IF(A118="","",INDEX(Reference!C:C,MATCH(Data!H118,Reference!A:A,0),0))</f>
        <v/>
      </c>
      <c r="K118" t="str">
        <f t="shared" ca="1" si="13"/>
        <v/>
      </c>
      <c r="L118" t="str">
        <f t="shared" si="14"/>
        <v/>
      </c>
    </row>
    <row r="119" spans="5:12" x14ac:dyDescent="0.25">
      <c r="E119" s="56" t="str">
        <f t="shared" si="10"/>
        <v/>
      </c>
      <c r="F119" s="56" t="str">
        <f t="shared" si="11"/>
        <v/>
      </c>
      <c r="H119" t="str">
        <f t="shared" si="12"/>
        <v/>
      </c>
      <c r="I119" t="str">
        <f>IF(A119="","00 NOT FOUND",INDEX(Reference!B:B,MATCH(Data!H119,Reference!A:A,0),0))</f>
        <v>00 NOT FOUND</v>
      </c>
      <c r="J119" t="str">
        <f>IF(A119="","",INDEX(Reference!C:C,MATCH(Data!H119,Reference!A:A,0),0))</f>
        <v/>
      </c>
      <c r="K119" t="str">
        <f t="shared" ca="1" si="13"/>
        <v/>
      </c>
      <c r="L119" t="str">
        <f t="shared" si="14"/>
        <v/>
      </c>
    </row>
    <row r="120" spans="5:12" x14ac:dyDescent="0.25">
      <c r="E120" s="56" t="str">
        <f t="shared" si="10"/>
        <v/>
      </c>
      <c r="F120" s="56" t="str">
        <f t="shared" si="11"/>
        <v/>
      </c>
      <c r="H120" t="str">
        <f t="shared" si="12"/>
        <v/>
      </c>
      <c r="I120" t="str">
        <f>IF(A120="","00 NOT FOUND",INDEX(Reference!B:B,MATCH(Data!H120,Reference!A:A,0),0))</f>
        <v>00 NOT FOUND</v>
      </c>
      <c r="J120" t="str">
        <f>IF(A120="","",INDEX(Reference!C:C,MATCH(Data!H120,Reference!A:A,0),0))</f>
        <v/>
      </c>
      <c r="K120" t="str">
        <f t="shared" ca="1" si="13"/>
        <v/>
      </c>
      <c r="L120" t="str">
        <f t="shared" si="14"/>
        <v/>
      </c>
    </row>
    <row r="121" spans="5:12" x14ac:dyDescent="0.25">
      <c r="E121" s="56" t="str">
        <f t="shared" si="10"/>
        <v/>
      </c>
      <c r="F121" s="56" t="str">
        <f t="shared" si="11"/>
        <v/>
      </c>
      <c r="H121" t="str">
        <f t="shared" si="12"/>
        <v/>
      </c>
      <c r="I121" t="str">
        <f>IF(A121="","00 NOT FOUND",INDEX(Reference!B:B,MATCH(Data!H121,Reference!A:A,0),0))</f>
        <v>00 NOT FOUND</v>
      </c>
      <c r="J121" t="str">
        <f>IF(A121="","",INDEX(Reference!C:C,MATCH(Data!H121,Reference!A:A,0),0))</f>
        <v/>
      </c>
      <c r="K121" t="str">
        <f t="shared" ca="1" si="13"/>
        <v/>
      </c>
      <c r="L121" t="str">
        <f t="shared" si="14"/>
        <v/>
      </c>
    </row>
    <row r="122" spans="5:12" x14ac:dyDescent="0.25">
      <c r="E122" s="56" t="str">
        <f t="shared" si="10"/>
        <v/>
      </c>
      <c r="F122" s="56" t="str">
        <f t="shared" si="11"/>
        <v/>
      </c>
      <c r="H122" t="str">
        <f t="shared" si="12"/>
        <v/>
      </c>
      <c r="I122" t="str">
        <f>IF(A122="","00 NOT FOUND",INDEX(Reference!B:B,MATCH(Data!H122,Reference!A:A,0),0))</f>
        <v>00 NOT FOUND</v>
      </c>
      <c r="J122" t="str">
        <f>IF(A122="","",INDEX(Reference!C:C,MATCH(Data!H122,Reference!A:A,0),0))</f>
        <v/>
      </c>
      <c r="K122" t="str">
        <f t="shared" ca="1" si="13"/>
        <v/>
      </c>
      <c r="L122" t="str">
        <f t="shared" si="14"/>
        <v/>
      </c>
    </row>
    <row r="123" spans="5:12" x14ac:dyDescent="0.25">
      <c r="E123" s="56" t="str">
        <f t="shared" si="10"/>
        <v/>
      </c>
      <c r="F123" s="56" t="str">
        <f t="shared" si="11"/>
        <v/>
      </c>
      <c r="H123" t="str">
        <f t="shared" si="12"/>
        <v/>
      </c>
      <c r="I123" t="str">
        <f>IF(A123="","00 NOT FOUND",INDEX(Reference!B:B,MATCH(Data!H123,Reference!A:A,0),0))</f>
        <v>00 NOT FOUND</v>
      </c>
      <c r="J123" t="str">
        <f>IF(A123="","",INDEX(Reference!C:C,MATCH(Data!H123,Reference!A:A,0),0))</f>
        <v/>
      </c>
      <c r="K123" t="str">
        <f t="shared" ca="1" si="13"/>
        <v/>
      </c>
      <c r="L123" t="str">
        <f t="shared" si="14"/>
        <v/>
      </c>
    </row>
    <row r="124" spans="5:12" x14ac:dyDescent="0.25">
      <c r="E124" s="56" t="str">
        <f t="shared" si="10"/>
        <v/>
      </c>
      <c r="F124" s="56" t="str">
        <f t="shared" si="11"/>
        <v/>
      </c>
      <c r="H124" t="str">
        <f t="shared" si="12"/>
        <v/>
      </c>
      <c r="I124" t="str">
        <f>IF(A124="","00 NOT FOUND",INDEX(Reference!B:B,MATCH(Data!H124,Reference!A:A,0),0))</f>
        <v>00 NOT FOUND</v>
      </c>
      <c r="J124" t="str">
        <f>IF(A124="","",INDEX(Reference!C:C,MATCH(Data!H124,Reference!A:A,0),0))</f>
        <v/>
      </c>
      <c r="K124" t="str">
        <f t="shared" ca="1" si="13"/>
        <v/>
      </c>
      <c r="L124" t="str">
        <f t="shared" si="14"/>
        <v/>
      </c>
    </row>
    <row r="125" spans="5:12" x14ac:dyDescent="0.25">
      <c r="E125" s="56" t="str">
        <f t="shared" si="10"/>
        <v/>
      </c>
      <c r="F125" s="56" t="str">
        <f t="shared" si="11"/>
        <v/>
      </c>
      <c r="H125" t="str">
        <f t="shared" si="12"/>
        <v/>
      </c>
      <c r="I125" t="str">
        <f>IF(A125="","00 NOT FOUND",INDEX(Reference!B:B,MATCH(Data!H125,Reference!A:A,0),0))</f>
        <v>00 NOT FOUND</v>
      </c>
      <c r="J125" t="str">
        <f>IF(A125="","",INDEX(Reference!C:C,MATCH(Data!H125,Reference!A:A,0),0))</f>
        <v/>
      </c>
      <c r="K125" t="str">
        <f t="shared" ca="1" si="13"/>
        <v/>
      </c>
      <c r="L125" t="str">
        <f t="shared" si="14"/>
        <v/>
      </c>
    </row>
    <row r="126" spans="5:12" x14ac:dyDescent="0.25">
      <c r="E126" s="56" t="str">
        <f t="shared" si="10"/>
        <v/>
      </c>
      <c r="F126" s="56" t="str">
        <f t="shared" si="11"/>
        <v/>
      </c>
      <c r="H126" t="str">
        <f t="shared" si="12"/>
        <v/>
      </c>
      <c r="I126" t="str">
        <f>IF(A126="","00 NOT FOUND",INDEX(Reference!B:B,MATCH(Data!H126,Reference!A:A,0),0))</f>
        <v>00 NOT FOUND</v>
      </c>
      <c r="J126" t="str">
        <f>IF(A126="","",INDEX(Reference!C:C,MATCH(Data!H126,Reference!A:A,0),0))</f>
        <v/>
      </c>
      <c r="K126" t="str">
        <f t="shared" ca="1" si="13"/>
        <v/>
      </c>
      <c r="L126" t="str">
        <f t="shared" si="14"/>
        <v/>
      </c>
    </row>
    <row r="127" spans="5:12" x14ac:dyDescent="0.25">
      <c r="E127" s="56" t="str">
        <f t="shared" si="10"/>
        <v/>
      </c>
      <c r="F127" s="56" t="str">
        <f t="shared" si="11"/>
        <v/>
      </c>
      <c r="H127" t="str">
        <f t="shared" si="12"/>
        <v/>
      </c>
      <c r="I127" t="str">
        <f>IF(A127="","00 NOT FOUND",INDEX(Reference!B:B,MATCH(Data!H127,Reference!A:A,0),0))</f>
        <v>00 NOT FOUND</v>
      </c>
      <c r="J127" t="str">
        <f>IF(A127="","",INDEX(Reference!C:C,MATCH(Data!H127,Reference!A:A,0),0))</f>
        <v/>
      </c>
      <c r="K127" t="str">
        <f t="shared" ca="1" si="13"/>
        <v/>
      </c>
      <c r="L127" t="str">
        <f t="shared" si="14"/>
        <v/>
      </c>
    </row>
    <row r="128" spans="5:12" x14ac:dyDescent="0.25">
      <c r="E128" s="56" t="str">
        <f t="shared" si="10"/>
        <v/>
      </c>
      <c r="F128" s="56" t="str">
        <f t="shared" si="11"/>
        <v/>
      </c>
      <c r="H128" t="str">
        <f t="shared" si="12"/>
        <v/>
      </c>
      <c r="I128" t="str">
        <f>IF(A128="","00 NOT FOUND",INDEX(Reference!B:B,MATCH(Data!H128,Reference!A:A,0),0))</f>
        <v>00 NOT FOUND</v>
      </c>
      <c r="J128" t="str">
        <f>IF(A128="","",INDEX(Reference!C:C,MATCH(Data!H128,Reference!A:A,0),0))</f>
        <v/>
      </c>
      <c r="K128" t="str">
        <f t="shared" ca="1" si="13"/>
        <v/>
      </c>
      <c r="L128" t="str">
        <f t="shared" si="14"/>
        <v/>
      </c>
    </row>
    <row r="129" spans="5:12" x14ac:dyDescent="0.25">
      <c r="E129" s="56" t="str">
        <f t="shared" si="10"/>
        <v/>
      </c>
      <c r="F129" s="56" t="str">
        <f t="shared" si="11"/>
        <v/>
      </c>
      <c r="H129" t="str">
        <f t="shared" si="12"/>
        <v/>
      </c>
      <c r="I129" t="str">
        <f>IF(A129="","00 NOT FOUND",INDEX(Reference!B:B,MATCH(Data!H129,Reference!A:A,0),0))</f>
        <v>00 NOT FOUND</v>
      </c>
      <c r="J129" t="str">
        <f>IF(A129="","",INDEX(Reference!C:C,MATCH(Data!H129,Reference!A:A,0),0))</f>
        <v/>
      </c>
      <c r="K129" t="str">
        <f t="shared" ca="1" si="13"/>
        <v/>
      </c>
      <c r="L129" t="str">
        <f t="shared" si="14"/>
        <v/>
      </c>
    </row>
    <row r="130" spans="5:12" x14ac:dyDescent="0.25">
      <c r="E130" s="56" t="str">
        <f t="shared" si="10"/>
        <v/>
      </c>
      <c r="F130" s="56" t="str">
        <f t="shared" si="11"/>
        <v/>
      </c>
      <c r="H130" t="str">
        <f t="shared" si="12"/>
        <v/>
      </c>
      <c r="I130" t="str">
        <f>IF(A130="","00 NOT FOUND",INDEX(Reference!B:B,MATCH(Data!H130,Reference!A:A,0),0))</f>
        <v>00 NOT FOUND</v>
      </c>
      <c r="J130" t="str">
        <f>IF(A130="","",INDEX(Reference!C:C,MATCH(Data!H130,Reference!A:A,0),0))</f>
        <v/>
      </c>
      <c r="K130" t="str">
        <f t="shared" ca="1" si="13"/>
        <v/>
      </c>
      <c r="L130" t="str">
        <f t="shared" si="14"/>
        <v/>
      </c>
    </row>
    <row r="131" spans="5:12" x14ac:dyDescent="0.25">
      <c r="E131" s="56" t="str">
        <f t="shared" si="10"/>
        <v/>
      </c>
      <c r="F131" s="56" t="str">
        <f t="shared" si="11"/>
        <v/>
      </c>
      <c r="H131" t="str">
        <f t="shared" si="12"/>
        <v/>
      </c>
      <c r="I131" t="str">
        <f>IF(A131="","00 NOT FOUND",INDEX(Reference!B:B,MATCH(Data!H131,Reference!A:A,0),0))</f>
        <v>00 NOT FOUND</v>
      </c>
      <c r="J131" t="str">
        <f>IF(A131="","",INDEX(Reference!C:C,MATCH(Data!H131,Reference!A:A,0),0))</f>
        <v/>
      </c>
      <c r="K131" t="str">
        <f t="shared" ca="1" si="13"/>
        <v/>
      </c>
      <c r="L131" t="str">
        <f t="shared" si="14"/>
        <v/>
      </c>
    </row>
    <row r="132" spans="5:12" x14ac:dyDescent="0.25">
      <c r="E132" s="56" t="str">
        <f t="shared" si="10"/>
        <v/>
      </c>
      <c r="F132" s="56" t="str">
        <f t="shared" si="11"/>
        <v/>
      </c>
      <c r="H132" t="str">
        <f t="shared" si="12"/>
        <v/>
      </c>
      <c r="I132" t="str">
        <f>IF(A132="","00 NOT FOUND",INDEX(Reference!B:B,MATCH(Data!H132,Reference!A:A,0),0))</f>
        <v>00 NOT FOUND</v>
      </c>
      <c r="J132" t="str">
        <f>IF(A132="","",INDEX(Reference!C:C,MATCH(Data!H132,Reference!A:A,0),0))</f>
        <v/>
      </c>
      <c r="K132" t="str">
        <f t="shared" ca="1" si="13"/>
        <v/>
      </c>
      <c r="L132" t="str">
        <f t="shared" si="14"/>
        <v/>
      </c>
    </row>
    <row r="133" spans="5:12" x14ac:dyDescent="0.25">
      <c r="E133" s="56" t="str">
        <f t="shared" si="10"/>
        <v/>
      </c>
      <c r="F133" s="56" t="str">
        <f t="shared" si="11"/>
        <v/>
      </c>
      <c r="H133" t="str">
        <f t="shared" si="12"/>
        <v/>
      </c>
      <c r="I133" t="str">
        <f>IF(A133="","00 NOT FOUND",INDEX(Reference!B:B,MATCH(Data!H133,Reference!A:A,0),0))</f>
        <v>00 NOT FOUND</v>
      </c>
      <c r="J133" t="str">
        <f>IF(A133="","",INDEX(Reference!C:C,MATCH(Data!H133,Reference!A:A,0),0))</f>
        <v/>
      </c>
      <c r="K133" t="str">
        <f t="shared" ca="1" si="13"/>
        <v/>
      </c>
      <c r="L133" t="str">
        <f t="shared" si="14"/>
        <v/>
      </c>
    </row>
    <row r="134" spans="5:12" x14ac:dyDescent="0.25">
      <c r="E134" s="56" t="str">
        <f t="shared" si="10"/>
        <v/>
      </c>
      <c r="F134" s="56" t="str">
        <f t="shared" si="11"/>
        <v/>
      </c>
      <c r="H134" t="str">
        <f t="shared" si="12"/>
        <v/>
      </c>
      <c r="I134" t="str">
        <f>IF(A134="","00 NOT FOUND",INDEX(Reference!B:B,MATCH(Data!H134,Reference!A:A,0),0))</f>
        <v>00 NOT FOUND</v>
      </c>
      <c r="J134" t="str">
        <f>IF(A134="","",INDEX(Reference!C:C,MATCH(Data!H134,Reference!A:A,0),0))</f>
        <v/>
      </c>
      <c r="K134" t="str">
        <f t="shared" ca="1" si="13"/>
        <v/>
      </c>
      <c r="L134" t="str">
        <f t="shared" si="14"/>
        <v/>
      </c>
    </row>
    <row r="135" spans="5:12" x14ac:dyDescent="0.25">
      <c r="E135" s="56" t="str">
        <f t="shared" ref="E135:E198" si="15">IF(A135="","",D135&amp;"\"&amp;H135)</f>
        <v/>
      </c>
      <c r="F135" s="56" t="str">
        <f t="shared" ref="F135:F198" si="16">IF(A135="","",E135&amp;"\"&amp;A135)</f>
        <v/>
      </c>
      <c r="H135" t="str">
        <f t="shared" ref="H135:H198" si="17">IF(A135="","",LEFT(A135,2))</f>
        <v/>
      </c>
      <c r="I135" t="str">
        <f>IF(A135="","00 NOT FOUND",INDEX(Reference!B:B,MATCH(Data!H135,Reference!A:A,0),0))</f>
        <v>00 NOT FOUND</v>
      </c>
      <c r="J135" t="str">
        <f>IF(A135="","",INDEX(Reference!C:C,MATCH(Data!H135,Reference!A:A,0),0))</f>
        <v/>
      </c>
      <c r="K135" t="str">
        <f t="shared" ref="K135:K198" ca="1" si="18">IF(A135="","",I135&amp;" Summary Reports - " &amp; TEXT(NOW(),"YYYY-MM-DD-HHMM"))</f>
        <v/>
      </c>
      <c r="L135" t="str">
        <f t="shared" ref="L135:L198" si="19">IF(A135="","","Hi, kindly refer to the attached. Thanks")</f>
        <v/>
      </c>
    </row>
    <row r="136" spans="5:12" x14ac:dyDescent="0.25">
      <c r="E136" s="56" t="str">
        <f t="shared" si="15"/>
        <v/>
      </c>
      <c r="F136" s="56" t="str">
        <f t="shared" si="16"/>
        <v/>
      </c>
      <c r="H136" t="str">
        <f t="shared" si="17"/>
        <v/>
      </c>
      <c r="I136" t="str">
        <f>IF(A136="","00 NOT FOUND",INDEX(Reference!B:B,MATCH(Data!H136,Reference!A:A,0),0))</f>
        <v>00 NOT FOUND</v>
      </c>
      <c r="J136" t="str">
        <f>IF(A136="","",INDEX(Reference!C:C,MATCH(Data!H136,Reference!A:A,0),0))</f>
        <v/>
      </c>
      <c r="K136" t="str">
        <f t="shared" ca="1" si="18"/>
        <v/>
      </c>
      <c r="L136" t="str">
        <f t="shared" si="19"/>
        <v/>
      </c>
    </row>
    <row r="137" spans="5:12" x14ac:dyDescent="0.25">
      <c r="E137" s="56" t="str">
        <f t="shared" si="15"/>
        <v/>
      </c>
      <c r="F137" s="56" t="str">
        <f t="shared" si="16"/>
        <v/>
      </c>
      <c r="H137" t="str">
        <f t="shared" si="17"/>
        <v/>
      </c>
      <c r="I137" t="str">
        <f>IF(A137="","00 NOT FOUND",INDEX(Reference!B:B,MATCH(Data!H137,Reference!A:A,0),0))</f>
        <v>00 NOT FOUND</v>
      </c>
      <c r="J137" t="str">
        <f>IF(A137="","",INDEX(Reference!C:C,MATCH(Data!H137,Reference!A:A,0),0))</f>
        <v/>
      </c>
      <c r="K137" t="str">
        <f t="shared" ca="1" si="18"/>
        <v/>
      </c>
      <c r="L137" t="str">
        <f t="shared" si="19"/>
        <v/>
      </c>
    </row>
    <row r="138" spans="5:12" x14ac:dyDescent="0.25">
      <c r="E138" s="56" t="str">
        <f t="shared" si="15"/>
        <v/>
      </c>
      <c r="F138" s="56" t="str">
        <f t="shared" si="16"/>
        <v/>
      </c>
      <c r="H138" t="str">
        <f t="shared" si="17"/>
        <v/>
      </c>
      <c r="I138" t="str">
        <f>IF(A138="","00 NOT FOUND",INDEX(Reference!B:B,MATCH(Data!H138,Reference!A:A,0),0))</f>
        <v>00 NOT FOUND</v>
      </c>
      <c r="J138" t="str">
        <f>IF(A138="","",INDEX(Reference!C:C,MATCH(Data!H138,Reference!A:A,0),0))</f>
        <v/>
      </c>
      <c r="K138" t="str">
        <f t="shared" ca="1" si="18"/>
        <v/>
      </c>
      <c r="L138" t="str">
        <f t="shared" si="19"/>
        <v/>
      </c>
    </row>
    <row r="139" spans="5:12" x14ac:dyDescent="0.25">
      <c r="E139" s="56" t="str">
        <f t="shared" si="15"/>
        <v/>
      </c>
      <c r="F139" s="56" t="str">
        <f t="shared" si="16"/>
        <v/>
      </c>
      <c r="H139" t="str">
        <f t="shared" si="17"/>
        <v/>
      </c>
      <c r="I139" t="str">
        <f>IF(A139="","00 NOT FOUND",INDEX(Reference!B:B,MATCH(Data!H139,Reference!A:A,0),0))</f>
        <v>00 NOT FOUND</v>
      </c>
      <c r="J139" t="str">
        <f>IF(A139="","",INDEX(Reference!C:C,MATCH(Data!H139,Reference!A:A,0),0))</f>
        <v/>
      </c>
      <c r="K139" t="str">
        <f t="shared" ca="1" si="18"/>
        <v/>
      </c>
      <c r="L139" t="str">
        <f t="shared" si="19"/>
        <v/>
      </c>
    </row>
    <row r="140" spans="5:12" x14ac:dyDescent="0.25">
      <c r="E140" s="56" t="str">
        <f t="shared" si="15"/>
        <v/>
      </c>
      <c r="F140" s="56" t="str">
        <f t="shared" si="16"/>
        <v/>
      </c>
      <c r="H140" t="str">
        <f t="shared" si="17"/>
        <v/>
      </c>
      <c r="I140" t="str">
        <f>IF(A140="","00 NOT FOUND",INDEX(Reference!B:B,MATCH(Data!H140,Reference!A:A,0),0))</f>
        <v>00 NOT FOUND</v>
      </c>
      <c r="J140" t="str">
        <f>IF(A140="","",INDEX(Reference!C:C,MATCH(Data!H140,Reference!A:A,0),0))</f>
        <v/>
      </c>
      <c r="K140" t="str">
        <f t="shared" ca="1" si="18"/>
        <v/>
      </c>
      <c r="L140" t="str">
        <f t="shared" si="19"/>
        <v/>
      </c>
    </row>
    <row r="141" spans="5:12" x14ac:dyDescent="0.25">
      <c r="E141" s="56" t="str">
        <f t="shared" si="15"/>
        <v/>
      </c>
      <c r="F141" s="56" t="str">
        <f t="shared" si="16"/>
        <v/>
      </c>
      <c r="H141" t="str">
        <f t="shared" si="17"/>
        <v/>
      </c>
      <c r="I141" t="str">
        <f>IF(A141="","00 NOT FOUND",INDEX(Reference!B:B,MATCH(Data!H141,Reference!A:A,0),0))</f>
        <v>00 NOT FOUND</v>
      </c>
      <c r="J141" t="str">
        <f>IF(A141="","",INDEX(Reference!C:C,MATCH(Data!H141,Reference!A:A,0),0))</f>
        <v/>
      </c>
      <c r="K141" t="str">
        <f t="shared" ca="1" si="18"/>
        <v/>
      </c>
      <c r="L141" t="str">
        <f t="shared" si="19"/>
        <v/>
      </c>
    </row>
    <row r="142" spans="5:12" x14ac:dyDescent="0.25">
      <c r="E142" s="56" t="str">
        <f t="shared" si="15"/>
        <v/>
      </c>
      <c r="F142" s="56" t="str">
        <f t="shared" si="16"/>
        <v/>
      </c>
      <c r="H142" t="str">
        <f t="shared" si="17"/>
        <v/>
      </c>
      <c r="I142" t="str">
        <f>IF(A142="","00 NOT FOUND",INDEX(Reference!B:B,MATCH(Data!H142,Reference!A:A,0),0))</f>
        <v>00 NOT FOUND</v>
      </c>
      <c r="J142" t="str">
        <f>IF(A142="","",INDEX(Reference!C:C,MATCH(Data!H142,Reference!A:A,0),0))</f>
        <v/>
      </c>
      <c r="K142" t="str">
        <f t="shared" ca="1" si="18"/>
        <v/>
      </c>
      <c r="L142" t="str">
        <f t="shared" si="19"/>
        <v/>
      </c>
    </row>
    <row r="143" spans="5:12" x14ac:dyDescent="0.25">
      <c r="E143" s="56" t="str">
        <f t="shared" si="15"/>
        <v/>
      </c>
      <c r="F143" s="56" t="str">
        <f t="shared" si="16"/>
        <v/>
      </c>
      <c r="H143" t="str">
        <f t="shared" si="17"/>
        <v/>
      </c>
      <c r="I143" t="str">
        <f>IF(A143="","00 NOT FOUND",INDEX(Reference!B:B,MATCH(Data!H143,Reference!A:A,0),0))</f>
        <v>00 NOT FOUND</v>
      </c>
      <c r="J143" t="str">
        <f>IF(A143="","",INDEX(Reference!C:C,MATCH(Data!H143,Reference!A:A,0),0))</f>
        <v/>
      </c>
      <c r="K143" t="str">
        <f t="shared" ca="1" si="18"/>
        <v/>
      </c>
      <c r="L143" t="str">
        <f t="shared" si="19"/>
        <v/>
      </c>
    </row>
    <row r="144" spans="5:12" x14ac:dyDescent="0.25">
      <c r="E144" s="56" t="str">
        <f t="shared" si="15"/>
        <v/>
      </c>
      <c r="F144" s="56" t="str">
        <f t="shared" si="16"/>
        <v/>
      </c>
      <c r="H144" t="str">
        <f t="shared" si="17"/>
        <v/>
      </c>
      <c r="I144" t="str">
        <f>IF(A144="","00 NOT FOUND",INDEX(Reference!B:B,MATCH(Data!H144,Reference!A:A,0),0))</f>
        <v>00 NOT FOUND</v>
      </c>
      <c r="J144" t="str">
        <f>IF(A144="","",INDEX(Reference!C:C,MATCH(Data!H144,Reference!A:A,0),0))</f>
        <v/>
      </c>
      <c r="K144" t="str">
        <f t="shared" ca="1" si="18"/>
        <v/>
      </c>
      <c r="L144" t="str">
        <f t="shared" si="19"/>
        <v/>
      </c>
    </row>
    <row r="145" spans="5:12" x14ac:dyDescent="0.25">
      <c r="E145" s="56" t="str">
        <f t="shared" si="15"/>
        <v/>
      </c>
      <c r="F145" s="56" t="str">
        <f t="shared" si="16"/>
        <v/>
      </c>
      <c r="H145" t="str">
        <f t="shared" si="17"/>
        <v/>
      </c>
      <c r="I145" t="str">
        <f>IF(A145="","00 NOT FOUND",INDEX(Reference!B:B,MATCH(Data!H145,Reference!A:A,0),0))</f>
        <v>00 NOT FOUND</v>
      </c>
      <c r="J145" t="str">
        <f>IF(A145="","",INDEX(Reference!C:C,MATCH(Data!H145,Reference!A:A,0),0))</f>
        <v/>
      </c>
      <c r="K145" t="str">
        <f t="shared" ca="1" si="18"/>
        <v/>
      </c>
      <c r="L145" t="str">
        <f t="shared" si="19"/>
        <v/>
      </c>
    </row>
    <row r="146" spans="5:12" x14ac:dyDescent="0.25">
      <c r="E146" s="56" t="str">
        <f t="shared" si="15"/>
        <v/>
      </c>
      <c r="F146" s="56" t="str">
        <f t="shared" si="16"/>
        <v/>
      </c>
      <c r="H146" t="str">
        <f t="shared" si="17"/>
        <v/>
      </c>
      <c r="I146" t="str">
        <f>IF(A146="","00 NOT FOUND",INDEX(Reference!B:B,MATCH(Data!H146,Reference!A:A,0),0))</f>
        <v>00 NOT FOUND</v>
      </c>
      <c r="J146" t="str">
        <f>IF(A146="","",INDEX(Reference!C:C,MATCH(Data!H146,Reference!A:A,0),0))</f>
        <v/>
      </c>
      <c r="K146" t="str">
        <f t="shared" ca="1" si="18"/>
        <v/>
      </c>
      <c r="L146" t="str">
        <f t="shared" si="19"/>
        <v/>
      </c>
    </row>
    <row r="147" spans="5:12" x14ac:dyDescent="0.25">
      <c r="E147" s="56" t="str">
        <f t="shared" si="15"/>
        <v/>
      </c>
      <c r="F147" s="56" t="str">
        <f t="shared" si="16"/>
        <v/>
      </c>
      <c r="H147" t="str">
        <f t="shared" si="17"/>
        <v/>
      </c>
      <c r="I147" t="str">
        <f>IF(A147="","00 NOT FOUND",INDEX(Reference!B:B,MATCH(Data!H147,Reference!A:A,0),0))</f>
        <v>00 NOT FOUND</v>
      </c>
      <c r="J147" t="str">
        <f>IF(A147="","",INDEX(Reference!C:C,MATCH(Data!H147,Reference!A:A,0),0))</f>
        <v/>
      </c>
      <c r="K147" t="str">
        <f t="shared" ca="1" si="18"/>
        <v/>
      </c>
      <c r="L147" t="str">
        <f t="shared" si="19"/>
        <v/>
      </c>
    </row>
    <row r="148" spans="5:12" x14ac:dyDescent="0.25">
      <c r="E148" s="56" t="str">
        <f t="shared" si="15"/>
        <v/>
      </c>
      <c r="F148" s="56" t="str">
        <f t="shared" si="16"/>
        <v/>
      </c>
      <c r="H148" t="str">
        <f t="shared" si="17"/>
        <v/>
      </c>
      <c r="I148" t="str">
        <f>IF(A148="","00 NOT FOUND",INDEX(Reference!B:B,MATCH(Data!H148,Reference!A:A,0),0))</f>
        <v>00 NOT FOUND</v>
      </c>
      <c r="J148" t="str">
        <f>IF(A148="","",INDEX(Reference!C:C,MATCH(Data!H148,Reference!A:A,0),0))</f>
        <v/>
      </c>
      <c r="K148" t="str">
        <f t="shared" ca="1" si="18"/>
        <v/>
      </c>
      <c r="L148" t="str">
        <f t="shared" si="19"/>
        <v/>
      </c>
    </row>
    <row r="149" spans="5:12" x14ac:dyDescent="0.25">
      <c r="E149" s="56" t="str">
        <f t="shared" si="15"/>
        <v/>
      </c>
      <c r="F149" s="56" t="str">
        <f t="shared" si="16"/>
        <v/>
      </c>
      <c r="H149" t="str">
        <f t="shared" si="17"/>
        <v/>
      </c>
      <c r="I149" t="str">
        <f>IF(A149="","00 NOT FOUND",INDEX(Reference!B:B,MATCH(Data!H149,Reference!A:A,0),0))</f>
        <v>00 NOT FOUND</v>
      </c>
      <c r="J149" t="str">
        <f>IF(A149="","",INDEX(Reference!C:C,MATCH(Data!H149,Reference!A:A,0),0))</f>
        <v/>
      </c>
      <c r="K149" t="str">
        <f t="shared" ca="1" si="18"/>
        <v/>
      </c>
      <c r="L149" t="str">
        <f t="shared" si="19"/>
        <v/>
      </c>
    </row>
    <row r="150" spans="5:12" x14ac:dyDescent="0.25">
      <c r="E150" s="56" t="str">
        <f t="shared" si="15"/>
        <v/>
      </c>
      <c r="F150" s="56" t="str">
        <f t="shared" si="16"/>
        <v/>
      </c>
      <c r="H150" t="str">
        <f t="shared" si="17"/>
        <v/>
      </c>
      <c r="I150" t="str">
        <f>IF(A150="","00 NOT FOUND",INDEX(Reference!B:B,MATCH(Data!H150,Reference!A:A,0),0))</f>
        <v>00 NOT FOUND</v>
      </c>
      <c r="J150" t="str">
        <f>IF(A150="","",INDEX(Reference!C:C,MATCH(Data!H150,Reference!A:A,0),0))</f>
        <v/>
      </c>
      <c r="K150" t="str">
        <f t="shared" ca="1" si="18"/>
        <v/>
      </c>
      <c r="L150" t="str">
        <f t="shared" si="19"/>
        <v/>
      </c>
    </row>
    <row r="151" spans="5:12" x14ac:dyDescent="0.25">
      <c r="E151" s="56" t="str">
        <f t="shared" si="15"/>
        <v/>
      </c>
      <c r="F151" s="56" t="str">
        <f t="shared" si="16"/>
        <v/>
      </c>
      <c r="H151" t="str">
        <f t="shared" si="17"/>
        <v/>
      </c>
      <c r="I151" t="str">
        <f>IF(A151="","00 NOT FOUND",INDEX(Reference!B:B,MATCH(Data!H151,Reference!A:A,0),0))</f>
        <v>00 NOT FOUND</v>
      </c>
      <c r="J151" t="str">
        <f>IF(A151="","",INDEX(Reference!C:C,MATCH(Data!H151,Reference!A:A,0),0))</f>
        <v/>
      </c>
      <c r="K151" t="str">
        <f t="shared" ca="1" si="18"/>
        <v/>
      </c>
      <c r="L151" t="str">
        <f t="shared" si="19"/>
        <v/>
      </c>
    </row>
    <row r="152" spans="5:12" x14ac:dyDescent="0.25">
      <c r="E152" s="56" t="str">
        <f t="shared" si="15"/>
        <v/>
      </c>
      <c r="F152" s="56" t="str">
        <f t="shared" si="16"/>
        <v/>
      </c>
      <c r="H152" t="str">
        <f t="shared" si="17"/>
        <v/>
      </c>
      <c r="I152" t="str">
        <f>IF(A152="","00 NOT FOUND",INDEX(Reference!B:B,MATCH(Data!H152,Reference!A:A,0),0))</f>
        <v>00 NOT FOUND</v>
      </c>
      <c r="J152" t="str">
        <f>IF(A152="","",INDEX(Reference!C:C,MATCH(Data!H152,Reference!A:A,0),0))</f>
        <v/>
      </c>
      <c r="K152" t="str">
        <f t="shared" ca="1" si="18"/>
        <v/>
      </c>
      <c r="L152" t="str">
        <f t="shared" si="19"/>
        <v/>
      </c>
    </row>
    <row r="153" spans="5:12" x14ac:dyDescent="0.25">
      <c r="E153" s="56" t="str">
        <f t="shared" si="15"/>
        <v/>
      </c>
      <c r="F153" s="56" t="str">
        <f t="shared" si="16"/>
        <v/>
      </c>
      <c r="H153" t="str">
        <f t="shared" si="17"/>
        <v/>
      </c>
      <c r="I153" t="str">
        <f>IF(A153="","00 NOT FOUND",INDEX(Reference!B:B,MATCH(Data!H153,Reference!A:A,0),0))</f>
        <v>00 NOT FOUND</v>
      </c>
      <c r="J153" t="str">
        <f>IF(A153="","",INDEX(Reference!C:C,MATCH(Data!H153,Reference!A:A,0),0))</f>
        <v/>
      </c>
      <c r="K153" t="str">
        <f t="shared" ca="1" si="18"/>
        <v/>
      </c>
      <c r="L153" t="str">
        <f t="shared" si="19"/>
        <v/>
      </c>
    </row>
    <row r="154" spans="5:12" x14ac:dyDescent="0.25">
      <c r="E154" s="56" t="str">
        <f t="shared" si="15"/>
        <v/>
      </c>
      <c r="F154" s="56" t="str">
        <f t="shared" si="16"/>
        <v/>
      </c>
      <c r="H154" t="str">
        <f t="shared" si="17"/>
        <v/>
      </c>
      <c r="I154" t="str">
        <f>IF(A154="","00 NOT FOUND",INDEX(Reference!B:B,MATCH(Data!H154,Reference!A:A,0),0))</f>
        <v>00 NOT FOUND</v>
      </c>
      <c r="J154" t="str">
        <f>IF(A154="","",INDEX(Reference!C:C,MATCH(Data!H154,Reference!A:A,0),0))</f>
        <v/>
      </c>
      <c r="K154" t="str">
        <f t="shared" ca="1" si="18"/>
        <v/>
      </c>
      <c r="L154" t="str">
        <f t="shared" si="19"/>
        <v/>
      </c>
    </row>
    <row r="155" spans="5:12" x14ac:dyDescent="0.25">
      <c r="E155" s="56" t="str">
        <f t="shared" si="15"/>
        <v/>
      </c>
      <c r="F155" s="56" t="str">
        <f t="shared" si="16"/>
        <v/>
      </c>
      <c r="H155" t="str">
        <f t="shared" si="17"/>
        <v/>
      </c>
      <c r="I155" t="str">
        <f>IF(A155="","00 NOT FOUND",INDEX(Reference!B:B,MATCH(Data!H155,Reference!A:A,0),0))</f>
        <v>00 NOT FOUND</v>
      </c>
      <c r="J155" t="str">
        <f>IF(A155="","",INDEX(Reference!C:C,MATCH(Data!H155,Reference!A:A,0),0))</f>
        <v/>
      </c>
      <c r="K155" t="str">
        <f t="shared" ca="1" si="18"/>
        <v/>
      </c>
      <c r="L155" t="str">
        <f t="shared" si="19"/>
        <v/>
      </c>
    </row>
    <row r="156" spans="5:12" x14ac:dyDescent="0.25">
      <c r="E156" s="56" t="str">
        <f t="shared" si="15"/>
        <v/>
      </c>
      <c r="F156" s="56" t="str">
        <f t="shared" si="16"/>
        <v/>
      </c>
      <c r="H156" t="str">
        <f t="shared" si="17"/>
        <v/>
      </c>
      <c r="I156" t="str">
        <f>IF(A156="","00 NOT FOUND",INDEX(Reference!B:B,MATCH(Data!H156,Reference!A:A,0),0))</f>
        <v>00 NOT FOUND</v>
      </c>
      <c r="J156" t="str">
        <f>IF(A156="","",INDEX(Reference!C:C,MATCH(Data!H156,Reference!A:A,0),0))</f>
        <v/>
      </c>
      <c r="K156" t="str">
        <f t="shared" ca="1" si="18"/>
        <v/>
      </c>
      <c r="L156" t="str">
        <f t="shared" si="19"/>
        <v/>
      </c>
    </row>
    <row r="157" spans="5:12" x14ac:dyDescent="0.25">
      <c r="E157" s="56" t="str">
        <f t="shared" si="15"/>
        <v/>
      </c>
      <c r="F157" s="56" t="str">
        <f t="shared" si="16"/>
        <v/>
      </c>
      <c r="H157" t="str">
        <f t="shared" si="17"/>
        <v/>
      </c>
      <c r="I157" t="str">
        <f>IF(A157="","00 NOT FOUND",INDEX(Reference!B:B,MATCH(Data!H157,Reference!A:A,0),0))</f>
        <v>00 NOT FOUND</v>
      </c>
      <c r="J157" t="str">
        <f>IF(A157="","",INDEX(Reference!C:C,MATCH(Data!H157,Reference!A:A,0),0))</f>
        <v/>
      </c>
      <c r="K157" t="str">
        <f t="shared" ca="1" si="18"/>
        <v/>
      </c>
      <c r="L157" t="str">
        <f t="shared" si="19"/>
        <v/>
      </c>
    </row>
    <row r="158" spans="5:12" x14ac:dyDescent="0.25">
      <c r="E158" s="56" t="str">
        <f t="shared" si="15"/>
        <v/>
      </c>
      <c r="F158" s="56" t="str">
        <f t="shared" si="16"/>
        <v/>
      </c>
      <c r="H158" t="str">
        <f t="shared" si="17"/>
        <v/>
      </c>
      <c r="I158" t="str">
        <f>IF(A158="","00 NOT FOUND",INDEX(Reference!B:B,MATCH(Data!H158,Reference!A:A,0),0))</f>
        <v>00 NOT FOUND</v>
      </c>
      <c r="J158" t="str">
        <f>IF(A158="","",INDEX(Reference!C:C,MATCH(Data!H158,Reference!A:A,0),0))</f>
        <v/>
      </c>
      <c r="K158" t="str">
        <f t="shared" ca="1" si="18"/>
        <v/>
      </c>
      <c r="L158" t="str">
        <f t="shared" si="19"/>
        <v/>
      </c>
    </row>
    <row r="159" spans="5:12" x14ac:dyDescent="0.25">
      <c r="E159" s="56" t="str">
        <f t="shared" si="15"/>
        <v/>
      </c>
      <c r="F159" s="56" t="str">
        <f t="shared" si="16"/>
        <v/>
      </c>
      <c r="H159" t="str">
        <f t="shared" si="17"/>
        <v/>
      </c>
      <c r="I159" t="str">
        <f>IF(A159="","00 NOT FOUND",INDEX(Reference!B:B,MATCH(Data!H159,Reference!A:A,0),0))</f>
        <v>00 NOT FOUND</v>
      </c>
      <c r="J159" t="str">
        <f>IF(A159="","",INDEX(Reference!C:C,MATCH(Data!H159,Reference!A:A,0),0))</f>
        <v/>
      </c>
      <c r="K159" t="str">
        <f t="shared" ca="1" si="18"/>
        <v/>
      </c>
      <c r="L159" t="str">
        <f t="shared" si="19"/>
        <v/>
      </c>
    </row>
    <row r="160" spans="5:12" x14ac:dyDescent="0.25">
      <c r="E160" s="56" t="str">
        <f t="shared" si="15"/>
        <v/>
      </c>
      <c r="F160" s="56" t="str">
        <f t="shared" si="16"/>
        <v/>
      </c>
      <c r="H160" t="str">
        <f t="shared" si="17"/>
        <v/>
      </c>
      <c r="I160" t="str">
        <f>IF(A160="","00 NOT FOUND",INDEX(Reference!B:B,MATCH(Data!H160,Reference!A:A,0),0))</f>
        <v>00 NOT FOUND</v>
      </c>
      <c r="J160" t="str">
        <f>IF(A160="","",INDEX(Reference!C:C,MATCH(Data!H160,Reference!A:A,0),0))</f>
        <v/>
      </c>
      <c r="K160" t="str">
        <f t="shared" ca="1" si="18"/>
        <v/>
      </c>
      <c r="L160" t="str">
        <f t="shared" si="19"/>
        <v/>
      </c>
    </row>
    <row r="161" spans="5:12" x14ac:dyDescent="0.25">
      <c r="E161" s="56" t="str">
        <f t="shared" si="15"/>
        <v/>
      </c>
      <c r="F161" s="56" t="str">
        <f t="shared" si="16"/>
        <v/>
      </c>
      <c r="H161" t="str">
        <f t="shared" si="17"/>
        <v/>
      </c>
      <c r="I161" t="str">
        <f>IF(A161="","00 NOT FOUND",INDEX(Reference!B:B,MATCH(Data!H161,Reference!A:A,0),0))</f>
        <v>00 NOT FOUND</v>
      </c>
      <c r="J161" t="str">
        <f>IF(A161="","",INDEX(Reference!C:C,MATCH(Data!H161,Reference!A:A,0),0))</f>
        <v/>
      </c>
      <c r="K161" t="str">
        <f t="shared" ca="1" si="18"/>
        <v/>
      </c>
      <c r="L161" t="str">
        <f t="shared" si="19"/>
        <v/>
      </c>
    </row>
    <row r="162" spans="5:12" x14ac:dyDescent="0.25">
      <c r="E162" s="56" t="str">
        <f t="shared" si="15"/>
        <v/>
      </c>
      <c r="F162" s="56" t="str">
        <f t="shared" si="16"/>
        <v/>
      </c>
      <c r="H162" t="str">
        <f t="shared" si="17"/>
        <v/>
      </c>
      <c r="I162" t="str">
        <f>IF(A162="","00 NOT FOUND",INDEX(Reference!B:B,MATCH(Data!H162,Reference!A:A,0),0))</f>
        <v>00 NOT FOUND</v>
      </c>
      <c r="J162" t="str">
        <f>IF(A162="","",INDEX(Reference!C:C,MATCH(Data!H162,Reference!A:A,0),0))</f>
        <v/>
      </c>
      <c r="K162" t="str">
        <f t="shared" ca="1" si="18"/>
        <v/>
      </c>
      <c r="L162" t="str">
        <f t="shared" si="19"/>
        <v/>
      </c>
    </row>
    <row r="163" spans="5:12" x14ac:dyDescent="0.25">
      <c r="E163" s="56" t="str">
        <f t="shared" si="15"/>
        <v/>
      </c>
      <c r="F163" s="56" t="str">
        <f t="shared" si="16"/>
        <v/>
      </c>
      <c r="H163" t="str">
        <f t="shared" si="17"/>
        <v/>
      </c>
      <c r="I163" t="str">
        <f>IF(A163="","00 NOT FOUND",INDEX(Reference!B:B,MATCH(Data!H163,Reference!A:A,0),0))</f>
        <v>00 NOT FOUND</v>
      </c>
      <c r="J163" t="str">
        <f>IF(A163="","",INDEX(Reference!C:C,MATCH(Data!H163,Reference!A:A,0),0))</f>
        <v/>
      </c>
      <c r="K163" t="str">
        <f t="shared" ca="1" si="18"/>
        <v/>
      </c>
      <c r="L163" t="str">
        <f t="shared" si="19"/>
        <v/>
      </c>
    </row>
    <row r="164" spans="5:12" x14ac:dyDescent="0.25">
      <c r="E164" s="56" t="str">
        <f t="shared" si="15"/>
        <v/>
      </c>
      <c r="F164" s="56" t="str">
        <f t="shared" si="16"/>
        <v/>
      </c>
      <c r="H164" t="str">
        <f t="shared" si="17"/>
        <v/>
      </c>
      <c r="I164" t="str">
        <f>IF(A164="","00 NOT FOUND",INDEX(Reference!B:B,MATCH(Data!H164,Reference!A:A,0),0))</f>
        <v>00 NOT FOUND</v>
      </c>
      <c r="J164" t="str">
        <f>IF(A164="","",INDEX(Reference!C:C,MATCH(Data!H164,Reference!A:A,0),0))</f>
        <v/>
      </c>
      <c r="K164" t="str">
        <f t="shared" ca="1" si="18"/>
        <v/>
      </c>
      <c r="L164" t="str">
        <f t="shared" si="19"/>
        <v/>
      </c>
    </row>
    <row r="165" spans="5:12" x14ac:dyDescent="0.25">
      <c r="E165" s="56" t="str">
        <f t="shared" si="15"/>
        <v/>
      </c>
      <c r="F165" s="56" t="str">
        <f t="shared" si="16"/>
        <v/>
      </c>
      <c r="H165" t="str">
        <f t="shared" si="17"/>
        <v/>
      </c>
      <c r="I165" t="str">
        <f>IF(A165="","00 NOT FOUND",INDEX(Reference!B:B,MATCH(Data!H165,Reference!A:A,0),0))</f>
        <v>00 NOT FOUND</v>
      </c>
      <c r="J165" t="str">
        <f>IF(A165="","",INDEX(Reference!C:C,MATCH(Data!H165,Reference!A:A,0),0))</f>
        <v/>
      </c>
      <c r="K165" t="str">
        <f t="shared" ca="1" si="18"/>
        <v/>
      </c>
      <c r="L165" t="str">
        <f t="shared" si="19"/>
        <v/>
      </c>
    </row>
    <row r="166" spans="5:12" x14ac:dyDescent="0.25">
      <c r="E166" s="56" t="str">
        <f t="shared" si="15"/>
        <v/>
      </c>
      <c r="F166" s="56" t="str">
        <f t="shared" si="16"/>
        <v/>
      </c>
      <c r="H166" t="str">
        <f t="shared" si="17"/>
        <v/>
      </c>
      <c r="I166" t="str">
        <f>IF(A166="","00 NOT FOUND",INDEX(Reference!B:B,MATCH(Data!H166,Reference!A:A,0),0))</f>
        <v>00 NOT FOUND</v>
      </c>
      <c r="J166" t="str">
        <f>IF(A166="","",INDEX(Reference!C:C,MATCH(Data!H166,Reference!A:A,0),0))</f>
        <v/>
      </c>
      <c r="K166" t="str">
        <f t="shared" ca="1" si="18"/>
        <v/>
      </c>
      <c r="L166" t="str">
        <f t="shared" si="19"/>
        <v/>
      </c>
    </row>
    <row r="167" spans="5:12" x14ac:dyDescent="0.25">
      <c r="E167" s="56" t="str">
        <f t="shared" si="15"/>
        <v/>
      </c>
      <c r="F167" s="56" t="str">
        <f t="shared" si="16"/>
        <v/>
      </c>
      <c r="H167" t="str">
        <f t="shared" si="17"/>
        <v/>
      </c>
      <c r="I167" t="str">
        <f>IF(A167="","00 NOT FOUND",INDEX(Reference!B:B,MATCH(Data!H167,Reference!A:A,0),0))</f>
        <v>00 NOT FOUND</v>
      </c>
      <c r="J167" t="str">
        <f>IF(A167="","",INDEX(Reference!C:C,MATCH(Data!H167,Reference!A:A,0),0))</f>
        <v/>
      </c>
      <c r="K167" t="str">
        <f t="shared" ca="1" si="18"/>
        <v/>
      </c>
      <c r="L167" t="str">
        <f t="shared" si="19"/>
        <v/>
      </c>
    </row>
    <row r="168" spans="5:12" x14ac:dyDescent="0.25">
      <c r="E168" s="56" t="str">
        <f t="shared" si="15"/>
        <v/>
      </c>
      <c r="F168" s="56" t="str">
        <f t="shared" si="16"/>
        <v/>
      </c>
      <c r="H168" t="str">
        <f t="shared" si="17"/>
        <v/>
      </c>
      <c r="I168" t="str">
        <f>IF(A168="","00 NOT FOUND",INDEX(Reference!B:B,MATCH(Data!H168,Reference!A:A,0),0))</f>
        <v>00 NOT FOUND</v>
      </c>
      <c r="J168" t="str">
        <f>IF(A168="","",INDEX(Reference!C:C,MATCH(Data!H168,Reference!A:A,0),0))</f>
        <v/>
      </c>
      <c r="K168" t="str">
        <f t="shared" ca="1" si="18"/>
        <v/>
      </c>
      <c r="L168" t="str">
        <f t="shared" si="19"/>
        <v/>
      </c>
    </row>
    <row r="169" spans="5:12" x14ac:dyDescent="0.25">
      <c r="E169" s="56" t="str">
        <f t="shared" si="15"/>
        <v/>
      </c>
      <c r="F169" s="56" t="str">
        <f t="shared" si="16"/>
        <v/>
      </c>
      <c r="H169" t="str">
        <f t="shared" si="17"/>
        <v/>
      </c>
      <c r="I169" t="str">
        <f>IF(A169="","00 NOT FOUND",INDEX(Reference!B:B,MATCH(Data!H169,Reference!A:A,0),0))</f>
        <v>00 NOT FOUND</v>
      </c>
      <c r="J169" t="str">
        <f>IF(A169="","",INDEX(Reference!C:C,MATCH(Data!H169,Reference!A:A,0),0))</f>
        <v/>
      </c>
      <c r="K169" t="str">
        <f t="shared" ca="1" si="18"/>
        <v/>
      </c>
      <c r="L169" t="str">
        <f t="shared" si="19"/>
        <v/>
      </c>
    </row>
    <row r="170" spans="5:12" x14ac:dyDescent="0.25">
      <c r="E170" s="56" t="str">
        <f t="shared" si="15"/>
        <v/>
      </c>
      <c r="F170" s="56" t="str">
        <f t="shared" si="16"/>
        <v/>
      </c>
      <c r="H170" t="str">
        <f t="shared" si="17"/>
        <v/>
      </c>
      <c r="I170" t="str">
        <f>IF(A170="","00 NOT FOUND",INDEX(Reference!B:B,MATCH(Data!H170,Reference!A:A,0),0))</f>
        <v>00 NOT FOUND</v>
      </c>
      <c r="J170" t="str">
        <f>IF(A170="","",INDEX(Reference!C:C,MATCH(Data!H170,Reference!A:A,0),0))</f>
        <v/>
      </c>
      <c r="K170" t="str">
        <f t="shared" ca="1" si="18"/>
        <v/>
      </c>
      <c r="L170" t="str">
        <f t="shared" si="19"/>
        <v/>
      </c>
    </row>
    <row r="171" spans="5:12" x14ac:dyDescent="0.25">
      <c r="E171" s="56" t="str">
        <f t="shared" si="15"/>
        <v/>
      </c>
      <c r="F171" s="56" t="str">
        <f t="shared" si="16"/>
        <v/>
      </c>
      <c r="H171" t="str">
        <f t="shared" si="17"/>
        <v/>
      </c>
      <c r="I171" t="str">
        <f>IF(A171="","00 NOT FOUND",INDEX(Reference!B:B,MATCH(Data!H171,Reference!A:A,0),0))</f>
        <v>00 NOT FOUND</v>
      </c>
      <c r="J171" t="str">
        <f>IF(A171="","",INDEX(Reference!C:C,MATCH(Data!H171,Reference!A:A,0),0))</f>
        <v/>
      </c>
      <c r="K171" t="str">
        <f t="shared" ca="1" si="18"/>
        <v/>
      </c>
      <c r="L171" t="str">
        <f t="shared" si="19"/>
        <v/>
      </c>
    </row>
    <row r="172" spans="5:12" x14ac:dyDescent="0.25">
      <c r="E172" s="56" t="str">
        <f t="shared" si="15"/>
        <v/>
      </c>
      <c r="F172" s="56" t="str">
        <f t="shared" si="16"/>
        <v/>
      </c>
      <c r="H172" t="str">
        <f t="shared" si="17"/>
        <v/>
      </c>
      <c r="I172" t="str">
        <f>IF(A172="","00 NOT FOUND",INDEX(Reference!B:B,MATCH(Data!H172,Reference!A:A,0),0))</f>
        <v>00 NOT FOUND</v>
      </c>
      <c r="J172" t="str">
        <f>IF(A172="","",INDEX(Reference!C:C,MATCH(Data!H172,Reference!A:A,0),0))</f>
        <v/>
      </c>
      <c r="K172" t="str">
        <f t="shared" ca="1" si="18"/>
        <v/>
      </c>
      <c r="L172" t="str">
        <f t="shared" si="19"/>
        <v/>
      </c>
    </row>
    <row r="173" spans="5:12" x14ac:dyDescent="0.25">
      <c r="E173" s="56" t="str">
        <f t="shared" si="15"/>
        <v/>
      </c>
      <c r="F173" s="56" t="str">
        <f t="shared" si="16"/>
        <v/>
      </c>
      <c r="H173" t="str">
        <f t="shared" si="17"/>
        <v/>
      </c>
      <c r="I173" t="str">
        <f>IF(A173="","00 NOT FOUND",INDEX(Reference!B:B,MATCH(Data!H173,Reference!A:A,0),0))</f>
        <v>00 NOT FOUND</v>
      </c>
      <c r="J173" t="str">
        <f>IF(A173="","",INDEX(Reference!C:C,MATCH(Data!H173,Reference!A:A,0),0))</f>
        <v/>
      </c>
      <c r="K173" t="str">
        <f t="shared" ca="1" si="18"/>
        <v/>
      </c>
      <c r="L173" t="str">
        <f t="shared" si="19"/>
        <v/>
      </c>
    </row>
    <row r="174" spans="5:12" x14ac:dyDescent="0.25">
      <c r="E174" s="56" t="str">
        <f t="shared" si="15"/>
        <v/>
      </c>
      <c r="F174" s="56" t="str">
        <f t="shared" si="16"/>
        <v/>
      </c>
      <c r="H174" t="str">
        <f t="shared" si="17"/>
        <v/>
      </c>
      <c r="I174" t="str">
        <f>IF(A174="","00 NOT FOUND",INDEX(Reference!B:B,MATCH(Data!H174,Reference!A:A,0),0))</f>
        <v>00 NOT FOUND</v>
      </c>
      <c r="J174" t="str">
        <f>IF(A174="","",INDEX(Reference!C:C,MATCH(Data!H174,Reference!A:A,0),0))</f>
        <v/>
      </c>
      <c r="K174" t="str">
        <f t="shared" ca="1" si="18"/>
        <v/>
      </c>
      <c r="L174" t="str">
        <f t="shared" si="19"/>
        <v/>
      </c>
    </row>
    <row r="175" spans="5:12" x14ac:dyDescent="0.25">
      <c r="E175" s="56" t="str">
        <f t="shared" si="15"/>
        <v/>
      </c>
      <c r="F175" s="56" t="str">
        <f t="shared" si="16"/>
        <v/>
      </c>
      <c r="H175" t="str">
        <f t="shared" si="17"/>
        <v/>
      </c>
      <c r="I175" t="str">
        <f>IF(A175="","00 NOT FOUND",INDEX(Reference!B:B,MATCH(Data!H175,Reference!A:A,0),0))</f>
        <v>00 NOT FOUND</v>
      </c>
      <c r="J175" t="str">
        <f>IF(A175="","",INDEX(Reference!C:C,MATCH(Data!H175,Reference!A:A,0),0))</f>
        <v/>
      </c>
      <c r="K175" t="str">
        <f t="shared" ca="1" si="18"/>
        <v/>
      </c>
      <c r="L175" t="str">
        <f t="shared" si="19"/>
        <v/>
      </c>
    </row>
    <row r="176" spans="5:12" x14ac:dyDescent="0.25">
      <c r="E176" s="56" t="str">
        <f t="shared" si="15"/>
        <v/>
      </c>
      <c r="F176" s="56" t="str">
        <f t="shared" si="16"/>
        <v/>
      </c>
      <c r="H176" t="str">
        <f t="shared" si="17"/>
        <v/>
      </c>
      <c r="I176" t="str">
        <f>IF(A176="","00 NOT FOUND",INDEX(Reference!B:B,MATCH(Data!H176,Reference!A:A,0),0))</f>
        <v>00 NOT FOUND</v>
      </c>
      <c r="J176" t="str">
        <f>IF(A176="","",INDEX(Reference!C:C,MATCH(Data!H176,Reference!A:A,0),0))</f>
        <v/>
      </c>
      <c r="K176" t="str">
        <f t="shared" ca="1" si="18"/>
        <v/>
      </c>
      <c r="L176" t="str">
        <f t="shared" si="19"/>
        <v/>
      </c>
    </row>
    <row r="177" spans="5:12" x14ac:dyDescent="0.25">
      <c r="E177" s="56" t="str">
        <f t="shared" si="15"/>
        <v/>
      </c>
      <c r="F177" s="56" t="str">
        <f t="shared" si="16"/>
        <v/>
      </c>
      <c r="H177" t="str">
        <f t="shared" si="17"/>
        <v/>
      </c>
      <c r="I177" t="str">
        <f>IF(A177="","00 NOT FOUND",INDEX(Reference!B:B,MATCH(Data!H177,Reference!A:A,0),0))</f>
        <v>00 NOT FOUND</v>
      </c>
      <c r="J177" t="str">
        <f>IF(A177="","",INDEX(Reference!C:C,MATCH(Data!H177,Reference!A:A,0),0))</f>
        <v/>
      </c>
      <c r="K177" t="str">
        <f t="shared" ca="1" si="18"/>
        <v/>
      </c>
      <c r="L177" t="str">
        <f t="shared" si="19"/>
        <v/>
      </c>
    </row>
    <row r="178" spans="5:12" x14ac:dyDescent="0.25">
      <c r="E178" s="56" t="str">
        <f t="shared" si="15"/>
        <v/>
      </c>
      <c r="F178" s="56" t="str">
        <f t="shared" si="16"/>
        <v/>
      </c>
      <c r="H178" t="str">
        <f t="shared" si="17"/>
        <v/>
      </c>
      <c r="I178" t="str">
        <f>IF(A178="","00 NOT FOUND",INDEX(Reference!B:B,MATCH(Data!H178,Reference!A:A,0),0))</f>
        <v>00 NOT FOUND</v>
      </c>
      <c r="J178" t="str">
        <f>IF(A178="","",INDEX(Reference!C:C,MATCH(Data!H178,Reference!A:A,0),0))</f>
        <v/>
      </c>
      <c r="K178" t="str">
        <f t="shared" ca="1" si="18"/>
        <v/>
      </c>
      <c r="L178" t="str">
        <f t="shared" si="19"/>
        <v/>
      </c>
    </row>
    <row r="179" spans="5:12" x14ac:dyDescent="0.25">
      <c r="E179" s="56" t="str">
        <f t="shared" si="15"/>
        <v/>
      </c>
      <c r="F179" s="56" t="str">
        <f t="shared" si="16"/>
        <v/>
      </c>
      <c r="H179" t="str">
        <f t="shared" si="17"/>
        <v/>
      </c>
      <c r="I179" t="str">
        <f>IF(A179="","00 NOT FOUND",INDEX(Reference!B:B,MATCH(Data!H179,Reference!A:A,0),0))</f>
        <v>00 NOT FOUND</v>
      </c>
      <c r="J179" t="str">
        <f>IF(A179="","",INDEX(Reference!C:C,MATCH(Data!H179,Reference!A:A,0),0))</f>
        <v/>
      </c>
      <c r="K179" t="str">
        <f t="shared" ca="1" si="18"/>
        <v/>
      </c>
      <c r="L179" t="str">
        <f t="shared" si="19"/>
        <v/>
      </c>
    </row>
    <row r="180" spans="5:12" x14ac:dyDescent="0.25">
      <c r="E180" s="56" t="str">
        <f t="shared" si="15"/>
        <v/>
      </c>
      <c r="F180" s="56" t="str">
        <f t="shared" si="16"/>
        <v/>
      </c>
      <c r="H180" t="str">
        <f t="shared" si="17"/>
        <v/>
      </c>
      <c r="I180" t="str">
        <f>IF(A180="","00 NOT FOUND",INDEX(Reference!B:B,MATCH(Data!H180,Reference!A:A,0),0))</f>
        <v>00 NOT FOUND</v>
      </c>
      <c r="J180" t="str">
        <f>IF(A180="","",INDEX(Reference!C:C,MATCH(Data!H180,Reference!A:A,0),0))</f>
        <v/>
      </c>
      <c r="K180" t="str">
        <f t="shared" ca="1" si="18"/>
        <v/>
      </c>
      <c r="L180" t="str">
        <f t="shared" si="19"/>
        <v/>
      </c>
    </row>
    <row r="181" spans="5:12" x14ac:dyDescent="0.25">
      <c r="E181" s="56" t="str">
        <f t="shared" si="15"/>
        <v/>
      </c>
      <c r="F181" s="56" t="str">
        <f t="shared" si="16"/>
        <v/>
      </c>
      <c r="H181" t="str">
        <f t="shared" si="17"/>
        <v/>
      </c>
      <c r="I181" t="str">
        <f>IF(A181="","00 NOT FOUND",INDEX(Reference!B:B,MATCH(Data!H181,Reference!A:A,0),0))</f>
        <v>00 NOT FOUND</v>
      </c>
      <c r="J181" t="str">
        <f>IF(A181="","",INDEX(Reference!C:C,MATCH(Data!H181,Reference!A:A,0),0))</f>
        <v/>
      </c>
      <c r="K181" t="str">
        <f t="shared" ca="1" si="18"/>
        <v/>
      </c>
      <c r="L181" t="str">
        <f t="shared" si="19"/>
        <v/>
      </c>
    </row>
    <row r="182" spans="5:12" x14ac:dyDescent="0.25">
      <c r="E182" s="56" t="str">
        <f t="shared" si="15"/>
        <v/>
      </c>
      <c r="F182" s="56" t="str">
        <f t="shared" si="16"/>
        <v/>
      </c>
      <c r="H182" t="str">
        <f t="shared" si="17"/>
        <v/>
      </c>
      <c r="I182" t="str">
        <f>IF(A182="","00 NOT FOUND",INDEX(Reference!B:B,MATCH(Data!H182,Reference!A:A,0),0))</f>
        <v>00 NOT FOUND</v>
      </c>
      <c r="J182" t="str">
        <f>IF(A182="","",INDEX(Reference!C:C,MATCH(Data!H182,Reference!A:A,0),0))</f>
        <v/>
      </c>
      <c r="K182" t="str">
        <f t="shared" ca="1" si="18"/>
        <v/>
      </c>
      <c r="L182" t="str">
        <f t="shared" si="19"/>
        <v/>
      </c>
    </row>
    <row r="183" spans="5:12" x14ac:dyDescent="0.25">
      <c r="E183" s="56" t="str">
        <f t="shared" si="15"/>
        <v/>
      </c>
      <c r="F183" s="56" t="str">
        <f t="shared" si="16"/>
        <v/>
      </c>
      <c r="H183" t="str">
        <f t="shared" si="17"/>
        <v/>
      </c>
      <c r="I183" t="str">
        <f>IF(A183="","00 NOT FOUND",INDEX(Reference!B:B,MATCH(Data!H183,Reference!A:A,0),0))</f>
        <v>00 NOT FOUND</v>
      </c>
      <c r="J183" t="str">
        <f>IF(A183="","",INDEX(Reference!C:C,MATCH(Data!H183,Reference!A:A,0),0))</f>
        <v/>
      </c>
      <c r="K183" t="str">
        <f t="shared" ca="1" si="18"/>
        <v/>
      </c>
      <c r="L183" t="str">
        <f t="shared" si="19"/>
        <v/>
      </c>
    </row>
    <row r="184" spans="5:12" x14ac:dyDescent="0.25">
      <c r="E184" s="56" t="str">
        <f t="shared" si="15"/>
        <v/>
      </c>
      <c r="F184" s="56" t="str">
        <f t="shared" si="16"/>
        <v/>
      </c>
      <c r="H184" t="str">
        <f t="shared" si="17"/>
        <v/>
      </c>
      <c r="I184" t="str">
        <f>IF(A184="","00 NOT FOUND",INDEX(Reference!B:B,MATCH(Data!H184,Reference!A:A,0),0))</f>
        <v>00 NOT FOUND</v>
      </c>
      <c r="J184" t="str">
        <f>IF(A184="","",INDEX(Reference!C:C,MATCH(Data!H184,Reference!A:A,0),0))</f>
        <v/>
      </c>
      <c r="K184" t="str">
        <f t="shared" ca="1" si="18"/>
        <v/>
      </c>
      <c r="L184" t="str">
        <f t="shared" si="19"/>
        <v/>
      </c>
    </row>
    <row r="185" spans="5:12" x14ac:dyDescent="0.25">
      <c r="E185" s="56" t="str">
        <f t="shared" si="15"/>
        <v/>
      </c>
      <c r="F185" s="56" t="str">
        <f t="shared" si="16"/>
        <v/>
      </c>
      <c r="H185" t="str">
        <f t="shared" si="17"/>
        <v/>
      </c>
      <c r="I185" t="str">
        <f>IF(A185="","00 NOT FOUND",INDEX(Reference!B:B,MATCH(Data!H185,Reference!A:A,0),0))</f>
        <v>00 NOT FOUND</v>
      </c>
      <c r="J185" t="str">
        <f>IF(A185="","",INDEX(Reference!C:C,MATCH(Data!H185,Reference!A:A,0),0))</f>
        <v/>
      </c>
      <c r="K185" t="str">
        <f t="shared" ca="1" si="18"/>
        <v/>
      </c>
      <c r="L185" t="str">
        <f t="shared" si="19"/>
        <v/>
      </c>
    </row>
    <row r="186" spans="5:12" x14ac:dyDescent="0.25">
      <c r="E186" s="56" t="str">
        <f t="shared" si="15"/>
        <v/>
      </c>
      <c r="F186" s="56" t="str">
        <f t="shared" si="16"/>
        <v/>
      </c>
      <c r="H186" t="str">
        <f t="shared" si="17"/>
        <v/>
      </c>
      <c r="I186" t="str">
        <f>IF(A186="","00 NOT FOUND",INDEX(Reference!B:B,MATCH(Data!H186,Reference!A:A,0),0))</f>
        <v>00 NOT FOUND</v>
      </c>
      <c r="J186" t="str">
        <f>IF(A186="","",INDEX(Reference!C:C,MATCH(Data!H186,Reference!A:A,0),0))</f>
        <v/>
      </c>
      <c r="K186" t="str">
        <f t="shared" ca="1" si="18"/>
        <v/>
      </c>
      <c r="L186" t="str">
        <f t="shared" si="19"/>
        <v/>
      </c>
    </row>
    <row r="187" spans="5:12" x14ac:dyDescent="0.25">
      <c r="E187" s="56" t="str">
        <f t="shared" si="15"/>
        <v/>
      </c>
      <c r="F187" s="56" t="str">
        <f t="shared" si="16"/>
        <v/>
      </c>
      <c r="H187" t="str">
        <f t="shared" si="17"/>
        <v/>
      </c>
      <c r="I187" t="str">
        <f>IF(A187="","00 NOT FOUND",INDEX(Reference!B:B,MATCH(Data!H187,Reference!A:A,0),0))</f>
        <v>00 NOT FOUND</v>
      </c>
      <c r="J187" t="str">
        <f>IF(A187="","",INDEX(Reference!C:C,MATCH(Data!H187,Reference!A:A,0),0))</f>
        <v/>
      </c>
      <c r="K187" t="str">
        <f t="shared" ca="1" si="18"/>
        <v/>
      </c>
      <c r="L187" t="str">
        <f t="shared" si="19"/>
        <v/>
      </c>
    </row>
    <row r="188" spans="5:12" x14ac:dyDescent="0.25">
      <c r="E188" s="56" t="str">
        <f t="shared" si="15"/>
        <v/>
      </c>
      <c r="F188" s="56" t="str">
        <f t="shared" si="16"/>
        <v/>
      </c>
      <c r="H188" t="str">
        <f t="shared" si="17"/>
        <v/>
      </c>
      <c r="I188" t="str">
        <f>IF(A188="","00 NOT FOUND",INDEX(Reference!B:B,MATCH(Data!H188,Reference!A:A,0),0))</f>
        <v>00 NOT FOUND</v>
      </c>
      <c r="J188" t="str">
        <f>IF(A188="","",INDEX(Reference!C:C,MATCH(Data!H188,Reference!A:A,0),0))</f>
        <v/>
      </c>
      <c r="K188" t="str">
        <f t="shared" ca="1" si="18"/>
        <v/>
      </c>
      <c r="L188" t="str">
        <f t="shared" si="19"/>
        <v/>
      </c>
    </row>
    <row r="189" spans="5:12" x14ac:dyDescent="0.25">
      <c r="E189" s="56" t="str">
        <f t="shared" si="15"/>
        <v/>
      </c>
      <c r="F189" s="56" t="str">
        <f t="shared" si="16"/>
        <v/>
      </c>
      <c r="H189" t="str">
        <f t="shared" si="17"/>
        <v/>
      </c>
      <c r="I189" t="str">
        <f>IF(A189="","00 NOT FOUND",INDEX(Reference!B:B,MATCH(Data!H189,Reference!A:A,0),0))</f>
        <v>00 NOT FOUND</v>
      </c>
      <c r="J189" t="str">
        <f>IF(A189="","",INDEX(Reference!C:C,MATCH(Data!H189,Reference!A:A,0),0))</f>
        <v/>
      </c>
      <c r="K189" t="str">
        <f t="shared" ca="1" si="18"/>
        <v/>
      </c>
      <c r="L189" t="str">
        <f t="shared" si="19"/>
        <v/>
      </c>
    </row>
    <row r="190" spans="5:12" x14ac:dyDescent="0.25">
      <c r="E190" s="56" t="str">
        <f t="shared" si="15"/>
        <v/>
      </c>
      <c r="F190" s="56" t="str">
        <f t="shared" si="16"/>
        <v/>
      </c>
      <c r="H190" t="str">
        <f t="shared" si="17"/>
        <v/>
      </c>
      <c r="I190" t="str">
        <f>IF(A190="","00 NOT FOUND",INDEX(Reference!B:B,MATCH(Data!H190,Reference!A:A,0),0))</f>
        <v>00 NOT FOUND</v>
      </c>
      <c r="J190" t="str">
        <f>IF(A190="","",INDEX(Reference!C:C,MATCH(Data!H190,Reference!A:A,0),0))</f>
        <v/>
      </c>
      <c r="K190" t="str">
        <f t="shared" ca="1" si="18"/>
        <v/>
      </c>
      <c r="L190" t="str">
        <f t="shared" si="19"/>
        <v/>
      </c>
    </row>
    <row r="191" spans="5:12" x14ac:dyDescent="0.25">
      <c r="E191" s="56" t="str">
        <f t="shared" si="15"/>
        <v/>
      </c>
      <c r="F191" s="56" t="str">
        <f t="shared" si="16"/>
        <v/>
      </c>
      <c r="H191" t="str">
        <f t="shared" si="17"/>
        <v/>
      </c>
      <c r="I191" t="str">
        <f>IF(A191="","00 NOT FOUND",INDEX(Reference!B:B,MATCH(Data!H191,Reference!A:A,0),0))</f>
        <v>00 NOT FOUND</v>
      </c>
      <c r="J191" t="str">
        <f>IF(A191="","",INDEX(Reference!C:C,MATCH(Data!H191,Reference!A:A,0),0))</f>
        <v/>
      </c>
      <c r="K191" t="str">
        <f t="shared" ca="1" si="18"/>
        <v/>
      </c>
      <c r="L191" t="str">
        <f t="shared" si="19"/>
        <v/>
      </c>
    </row>
    <row r="192" spans="5:12" x14ac:dyDescent="0.25">
      <c r="E192" s="56" t="str">
        <f t="shared" si="15"/>
        <v/>
      </c>
      <c r="F192" s="56" t="str">
        <f t="shared" si="16"/>
        <v/>
      </c>
      <c r="H192" t="str">
        <f t="shared" si="17"/>
        <v/>
      </c>
      <c r="I192" t="str">
        <f>IF(A192="","00 NOT FOUND",INDEX(Reference!B:B,MATCH(Data!H192,Reference!A:A,0),0))</f>
        <v>00 NOT FOUND</v>
      </c>
      <c r="J192" t="str">
        <f>IF(A192="","",INDEX(Reference!C:C,MATCH(Data!H192,Reference!A:A,0),0))</f>
        <v/>
      </c>
      <c r="K192" t="str">
        <f t="shared" ca="1" si="18"/>
        <v/>
      </c>
      <c r="L192" t="str">
        <f t="shared" si="19"/>
        <v/>
      </c>
    </row>
    <row r="193" spans="5:12" x14ac:dyDescent="0.25">
      <c r="E193" s="56" t="str">
        <f t="shared" si="15"/>
        <v/>
      </c>
      <c r="F193" s="56" t="str">
        <f t="shared" si="16"/>
        <v/>
      </c>
      <c r="H193" t="str">
        <f t="shared" si="17"/>
        <v/>
      </c>
      <c r="I193" t="str">
        <f>IF(A193="","00 NOT FOUND",INDEX(Reference!B:B,MATCH(Data!H193,Reference!A:A,0),0))</f>
        <v>00 NOT FOUND</v>
      </c>
      <c r="J193" t="str">
        <f>IF(A193="","",INDEX(Reference!C:C,MATCH(Data!H193,Reference!A:A,0),0))</f>
        <v/>
      </c>
      <c r="K193" t="str">
        <f t="shared" ca="1" si="18"/>
        <v/>
      </c>
      <c r="L193" t="str">
        <f t="shared" si="19"/>
        <v/>
      </c>
    </row>
    <row r="194" spans="5:12" x14ac:dyDescent="0.25">
      <c r="E194" s="56" t="str">
        <f t="shared" si="15"/>
        <v/>
      </c>
      <c r="F194" s="56" t="str">
        <f t="shared" si="16"/>
        <v/>
      </c>
      <c r="H194" t="str">
        <f t="shared" si="17"/>
        <v/>
      </c>
      <c r="I194" t="str">
        <f>IF(A194="","00 NOT FOUND",INDEX(Reference!B:B,MATCH(Data!H194,Reference!A:A,0),0))</f>
        <v>00 NOT FOUND</v>
      </c>
      <c r="J194" t="str">
        <f>IF(A194="","",INDEX(Reference!C:C,MATCH(Data!H194,Reference!A:A,0),0))</f>
        <v/>
      </c>
      <c r="K194" t="str">
        <f t="shared" ca="1" si="18"/>
        <v/>
      </c>
      <c r="L194" t="str">
        <f t="shared" si="19"/>
        <v/>
      </c>
    </row>
    <row r="195" spans="5:12" x14ac:dyDescent="0.25">
      <c r="E195" s="56" t="str">
        <f t="shared" si="15"/>
        <v/>
      </c>
      <c r="F195" s="56" t="str">
        <f t="shared" si="16"/>
        <v/>
      </c>
      <c r="H195" t="str">
        <f t="shared" si="17"/>
        <v/>
      </c>
      <c r="I195" t="str">
        <f>IF(A195="","00 NOT FOUND",INDEX(Reference!B:B,MATCH(Data!H195,Reference!A:A,0),0))</f>
        <v>00 NOT FOUND</v>
      </c>
      <c r="J195" t="str">
        <f>IF(A195="","",INDEX(Reference!C:C,MATCH(Data!H195,Reference!A:A,0),0))</f>
        <v/>
      </c>
      <c r="K195" t="str">
        <f t="shared" ca="1" si="18"/>
        <v/>
      </c>
      <c r="L195" t="str">
        <f t="shared" si="19"/>
        <v/>
      </c>
    </row>
    <row r="196" spans="5:12" x14ac:dyDescent="0.25">
      <c r="E196" s="56" t="str">
        <f t="shared" si="15"/>
        <v/>
      </c>
      <c r="F196" s="56" t="str">
        <f t="shared" si="16"/>
        <v/>
      </c>
      <c r="H196" t="str">
        <f t="shared" si="17"/>
        <v/>
      </c>
      <c r="I196" t="str">
        <f>IF(A196="","00 NOT FOUND",INDEX(Reference!B:B,MATCH(Data!H196,Reference!A:A,0),0))</f>
        <v>00 NOT FOUND</v>
      </c>
      <c r="J196" t="str">
        <f>IF(A196="","",INDEX(Reference!C:C,MATCH(Data!H196,Reference!A:A,0),0))</f>
        <v/>
      </c>
      <c r="K196" t="str">
        <f t="shared" ca="1" si="18"/>
        <v/>
      </c>
      <c r="L196" t="str">
        <f t="shared" si="19"/>
        <v/>
      </c>
    </row>
    <row r="197" spans="5:12" x14ac:dyDescent="0.25">
      <c r="E197" s="56" t="str">
        <f t="shared" si="15"/>
        <v/>
      </c>
      <c r="F197" s="56" t="str">
        <f t="shared" si="16"/>
        <v/>
      </c>
      <c r="H197" t="str">
        <f t="shared" si="17"/>
        <v/>
      </c>
      <c r="I197" t="str">
        <f>IF(A197="","00 NOT FOUND",INDEX(Reference!B:B,MATCH(Data!H197,Reference!A:A,0),0))</f>
        <v>00 NOT FOUND</v>
      </c>
      <c r="J197" t="str">
        <f>IF(A197="","",INDEX(Reference!C:C,MATCH(Data!H197,Reference!A:A,0),0))</f>
        <v/>
      </c>
      <c r="K197" t="str">
        <f t="shared" ca="1" si="18"/>
        <v/>
      </c>
      <c r="L197" t="str">
        <f t="shared" si="19"/>
        <v/>
      </c>
    </row>
    <row r="198" spans="5:12" x14ac:dyDescent="0.25">
      <c r="E198" s="56" t="str">
        <f t="shared" si="15"/>
        <v/>
      </c>
      <c r="F198" s="56" t="str">
        <f t="shared" si="16"/>
        <v/>
      </c>
      <c r="H198" t="str">
        <f t="shared" si="17"/>
        <v/>
      </c>
      <c r="I198" t="str">
        <f>IF(A198="","00 NOT FOUND",INDEX(Reference!B:B,MATCH(Data!H198,Reference!A:A,0),0))</f>
        <v>00 NOT FOUND</v>
      </c>
      <c r="J198" t="str">
        <f>IF(A198="","",INDEX(Reference!C:C,MATCH(Data!H198,Reference!A:A,0),0))</f>
        <v/>
      </c>
      <c r="K198" t="str">
        <f t="shared" ca="1" si="18"/>
        <v/>
      </c>
      <c r="L198" t="str">
        <f t="shared" si="19"/>
        <v/>
      </c>
    </row>
    <row r="199" spans="5:12" x14ac:dyDescent="0.25">
      <c r="E199" s="56" t="str">
        <f t="shared" ref="E199:E262" si="20">IF(A199="","",D199&amp;"\"&amp;H199)</f>
        <v/>
      </c>
      <c r="F199" s="56" t="str">
        <f t="shared" ref="F199:F262" si="21">IF(A199="","",E199&amp;"\"&amp;A199)</f>
        <v/>
      </c>
      <c r="H199" t="str">
        <f t="shared" ref="H199:H262" si="22">IF(A199="","",LEFT(A199,2))</f>
        <v/>
      </c>
      <c r="I199" t="str">
        <f>IF(A199="","00 NOT FOUND",INDEX(Reference!B:B,MATCH(Data!H199,Reference!A:A,0),0))</f>
        <v>00 NOT FOUND</v>
      </c>
      <c r="J199" t="str">
        <f>IF(A199="","",INDEX(Reference!C:C,MATCH(Data!H199,Reference!A:A,0),0))</f>
        <v/>
      </c>
      <c r="K199" t="str">
        <f t="shared" ref="K199:K262" ca="1" si="23">IF(A199="","",I199&amp;" Summary Reports - " &amp; TEXT(NOW(),"YYYY-MM-DD-HHMM"))</f>
        <v/>
      </c>
      <c r="L199" t="str">
        <f t="shared" ref="L199:L262" si="24">IF(A199="","","Hi, kindly refer to the attached. Thanks")</f>
        <v/>
      </c>
    </row>
    <row r="200" spans="5:12" x14ac:dyDescent="0.25">
      <c r="E200" s="56" t="str">
        <f t="shared" si="20"/>
        <v/>
      </c>
      <c r="F200" s="56" t="str">
        <f t="shared" si="21"/>
        <v/>
      </c>
      <c r="H200" t="str">
        <f t="shared" si="22"/>
        <v/>
      </c>
      <c r="I200" t="str">
        <f>IF(A200="","00 NOT FOUND",INDEX(Reference!B:B,MATCH(Data!H200,Reference!A:A,0),0))</f>
        <v>00 NOT FOUND</v>
      </c>
      <c r="J200" t="str">
        <f>IF(A200="","",INDEX(Reference!C:C,MATCH(Data!H200,Reference!A:A,0),0))</f>
        <v/>
      </c>
      <c r="K200" t="str">
        <f t="shared" ca="1" si="23"/>
        <v/>
      </c>
      <c r="L200" t="str">
        <f t="shared" si="24"/>
        <v/>
      </c>
    </row>
    <row r="201" spans="5:12" x14ac:dyDescent="0.25">
      <c r="E201" s="56" t="str">
        <f t="shared" si="20"/>
        <v/>
      </c>
      <c r="F201" s="56" t="str">
        <f t="shared" si="21"/>
        <v/>
      </c>
      <c r="H201" t="str">
        <f t="shared" si="22"/>
        <v/>
      </c>
      <c r="I201" t="str">
        <f>IF(A201="","00 NOT FOUND",INDEX(Reference!B:B,MATCH(Data!H201,Reference!A:A,0),0))</f>
        <v>00 NOT FOUND</v>
      </c>
      <c r="J201" t="str">
        <f>IF(A201="","",INDEX(Reference!C:C,MATCH(Data!H201,Reference!A:A,0),0))</f>
        <v/>
      </c>
      <c r="K201" t="str">
        <f t="shared" ca="1" si="23"/>
        <v/>
      </c>
      <c r="L201" t="str">
        <f t="shared" si="24"/>
        <v/>
      </c>
    </row>
    <row r="202" spans="5:12" x14ac:dyDescent="0.25">
      <c r="E202" s="56" t="str">
        <f t="shared" si="20"/>
        <v/>
      </c>
      <c r="F202" s="56" t="str">
        <f t="shared" si="21"/>
        <v/>
      </c>
      <c r="H202" t="str">
        <f t="shared" si="22"/>
        <v/>
      </c>
      <c r="I202" t="str">
        <f>IF(A202="","00 NOT FOUND",INDEX(Reference!B:B,MATCH(Data!H202,Reference!A:A,0),0))</f>
        <v>00 NOT FOUND</v>
      </c>
      <c r="J202" t="str">
        <f>IF(A202="","",INDEX(Reference!C:C,MATCH(Data!H202,Reference!A:A,0),0))</f>
        <v/>
      </c>
      <c r="K202" t="str">
        <f t="shared" ca="1" si="23"/>
        <v/>
      </c>
      <c r="L202" t="str">
        <f t="shared" si="24"/>
        <v/>
      </c>
    </row>
    <row r="203" spans="5:12" x14ac:dyDescent="0.25">
      <c r="E203" s="56" t="str">
        <f t="shared" si="20"/>
        <v/>
      </c>
      <c r="F203" s="56" t="str">
        <f t="shared" si="21"/>
        <v/>
      </c>
      <c r="H203" t="str">
        <f t="shared" si="22"/>
        <v/>
      </c>
      <c r="I203" t="str">
        <f>IF(A203="","00 NOT FOUND",INDEX(Reference!B:B,MATCH(Data!H203,Reference!A:A,0),0))</f>
        <v>00 NOT FOUND</v>
      </c>
      <c r="J203" t="str">
        <f>IF(A203="","",INDEX(Reference!C:C,MATCH(Data!H203,Reference!A:A,0),0))</f>
        <v/>
      </c>
      <c r="K203" t="str">
        <f t="shared" ca="1" si="23"/>
        <v/>
      </c>
      <c r="L203" t="str">
        <f t="shared" si="24"/>
        <v/>
      </c>
    </row>
    <row r="204" spans="5:12" x14ac:dyDescent="0.25">
      <c r="E204" s="56" t="str">
        <f t="shared" si="20"/>
        <v/>
      </c>
      <c r="F204" s="56" t="str">
        <f t="shared" si="21"/>
        <v/>
      </c>
      <c r="H204" t="str">
        <f t="shared" si="22"/>
        <v/>
      </c>
      <c r="I204" t="str">
        <f>IF(A204="","00 NOT FOUND",INDEX(Reference!B:B,MATCH(Data!H204,Reference!A:A,0),0))</f>
        <v>00 NOT FOUND</v>
      </c>
      <c r="J204" t="str">
        <f>IF(A204="","",INDEX(Reference!C:C,MATCH(Data!H204,Reference!A:A,0),0))</f>
        <v/>
      </c>
      <c r="K204" t="str">
        <f t="shared" ca="1" si="23"/>
        <v/>
      </c>
      <c r="L204" t="str">
        <f t="shared" si="24"/>
        <v/>
      </c>
    </row>
    <row r="205" spans="5:12" x14ac:dyDescent="0.25">
      <c r="E205" s="56" t="str">
        <f t="shared" si="20"/>
        <v/>
      </c>
      <c r="F205" s="56" t="str">
        <f t="shared" si="21"/>
        <v/>
      </c>
      <c r="H205" t="str">
        <f t="shared" si="22"/>
        <v/>
      </c>
      <c r="I205" t="str">
        <f>IF(A205="","00 NOT FOUND",INDEX(Reference!B:B,MATCH(Data!H205,Reference!A:A,0),0))</f>
        <v>00 NOT FOUND</v>
      </c>
      <c r="J205" t="str">
        <f>IF(A205="","",INDEX(Reference!C:C,MATCH(Data!H205,Reference!A:A,0),0))</f>
        <v/>
      </c>
      <c r="K205" t="str">
        <f t="shared" ca="1" si="23"/>
        <v/>
      </c>
      <c r="L205" t="str">
        <f t="shared" si="24"/>
        <v/>
      </c>
    </row>
    <row r="206" spans="5:12" x14ac:dyDescent="0.25">
      <c r="E206" s="56" t="str">
        <f t="shared" si="20"/>
        <v/>
      </c>
      <c r="F206" s="56" t="str">
        <f t="shared" si="21"/>
        <v/>
      </c>
      <c r="H206" t="str">
        <f t="shared" si="22"/>
        <v/>
      </c>
      <c r="I206" t="str">
        <f>IF(A206="","00 NOT FOUND",INDEX(Reference!B:B,MATCH(Data!H206,Reference!A:A,0),0))</f>
        <v>00 NOT FOUND</v>
      </c>
      <c r="J206" t="str">
        <f>IF(A206="","",INDEX(Reference!C:C,MATCH(Data!H206,Reference!A:A,0),0))</f>
        <v/>
      </c>
      <c r="K206" t="str">
        <f t="shared" ca="1" si="23"/>
        <v/>
      </c>
      <c r="L206" t="str">
        <f t="shared" si="24"/>
        <v/>
      </c>
    </row>
    <row r="207" spans="5:12" x14ac:dyDescent="0.25">
      <c r="E207" s="56" t="str">
        <f t="shared" si="20"/>
        <v/>
      </c>
      <c r="F207" s="56" t="str">
        <f t="shared" si="21"/>
        <v/>
      </c>
      <c r="H207" t="str">
        <f t="shared" si="22"/>
        <v/>
      </c>
      <c r="I207" t="str">
        <f>IF(A207="","00 NOT FOUND",INDEX(Reference!B:B,MATCH(Data!H207,Reference!A:A,0),0))</f>
        <v>00 NOT FOUND</v>
      </c>
      <c r="J207" t="str">
        <f>IF(A207="","",INDEX(Reference!C:C,MATCH(Data!H207,Reference!A:A,0),0))</f>
        <v/>
      </c>
      <c r="K207" t="str">
        <f t="shared" ca="1" si="23"/>
        <v/>
      </c>
      <c r="L207" t="str">
        <f t="shared" si="24"/>
        <v/>
      </c>
    </row>
    <row r="208" spans="5:12" x14ac:dyDescent="0.25">
      <c r="E208" s="56" t="str">
        <f t="shared" si="20"/>
        <v/>
      </c>
      <c r="F208" s="56" t="str">
        <f t="shared" si="21"/>
        <v/>
      </c>
      <c r="H208" t="str">
        <f t="shared" si="22"/>
        <v/>
      </c>
      <c r="I208" t="str">
        <f>IF(A208="","00 NOT FOUND",INDEX(Reference!B:B,MATCH(Data!H208,Reference!A:A,0),0))</f>
        <v>00 NOT FOUND</v>
      </c>
      <c r="J208" t="str">
        <f>IF(A208="","",INDEX(Reference!C:C,MATCH(Data!H208,Reference!A:A,0),0))</f>
        <v/>
      </c>
      <c r="K208" t="str">
        <f t="shared" ca="1" si="23"/>
        <v/>
      </c>
      <c r="L208" t="str">
        <f t="shared" si="24"/>
        <v/>
      </c>
    </row>
    <row r="209" spans="5:12" x14ac:dyDescent="0.25">
      <c r="E209" s="56" t="str">
        <f t="shared" si="20"/>
        <v/>
      </c>
      <c r="F209" s="56" t="str">
        <f t="shared" si="21"/>
        <v/>
      </c>
      <c r="H209" t="str">
        <f t="shared" si="22"/>
        <v/>
      </c>
      <c r="I209" t="str">
        <f>IF(A209="","00 NOT FOUND",INDEX(Reference!B:B,MATCH(Data!H209,Reference!A:A,0),0))</f>
        <v>00 NOT FOUND</v>
      </c>
      <c r="J209" t="str">
        <f>IF(A209="","",INDEX(Reference!C:C,MATCH(Data!H209,Reference!A:A,0),0))</f>
        <v/>
      </c>
      <c r="K209" t="str">
        <f t="shared" ca="1" si="23"/>
        <v/>
      </c>
      <c r="L209" t="str">
        <f t="shared" si="24"/>
        <v/>
      </c>
    </row>
    <row r="210" spans="5:12" x14ac:dyDescent="0.25">
      <c r="E210" s="56" t="str">
        <f t="shared" si="20"/>
        <v/>
      </c>
      <c r="F210" s="56" t="str">
        <f t="shared" si="21"/>
        <v/>
      </c>
      <c r="H210" t="str">
        <f t="shared" si="22"/>
        <v/>
      </c>
      <c r="I210" t="str">
        <f>IF(A210="","00 NOT FOUND",INDEX(Reference!B:B,MATCH(Data!H210,Reference!A:A,0),0))</f>
        <v>00 NOT FOUND</v>
      </c>
      <c r="J210" t="str">
        <f>IF(A210="","",INDEX(Reference!C:C,MATCH(Data!H210,Reference!A:A,0),0))</f>
        <v/>
      </c>
      <c r="K210" t="str">
        <f t="shared" ca="1" si="23"/>
        <v/>
      </c>
      <c r="L210" t="str">
        <f t="shared" si="24"/>
        <v/>
      </c>
    </row>
    <row r="211" spans="5:12" x14ac:dyDescent="0.25">
      <c r="E211" s="56" t="str">
        <f t="shared" si="20"/>
        <v/>
      </c>
      <c r="F211" s="56" t="str">
        <f t="shared" si="21"/>
        <v/>
      </c>
      <c r="H211" t="str">
        <f t="shared" si="22"/>
        <v/>
      </c>
      <c r="I211" t="str">
        <f>IF(A211="","00 NOT FOUND",INDEX(Reference!B:B,MATCH(Data!H211,Reference!A:A,0),0))</f>
        <v>00 NOT FOUND</v>
      </c>
      <c r="J211" t="str">
        <f>IF(A211="","",INDEX(Reference!C:C,MATCH(Data!H211,Reference!A:A,0),0))</f>
        <v/>
      </c>
      <c r="K211" t="str">
        <f t="shared" ca="1" si="23"/>
        <v/>
      </c>
      <c r="L211" t="str">
        <f t="shared" si="24"/>
        <v/>
      </c>
    </row>
    <row r="212" spans="5:12" x14ac:dyDescent="0.25">
      <c r="E212" s="56" t="str">
        <f t="shared" si="20"/>
        <v/>
      </c>
      <c r="F212" s="56" t="str">
        <f t="shared" si="21"/>
        <v/>
      </c>
      <c r="H212" t="str">
        <f t="shared" si="22"/>
        <v/>
      </c>
      <c r="I212" t="str">
        <f>IF(A212="","00 NOT FOUND",INDEX(Reference!B:B,MATCH(Data!H212,Reference!A:A,0),0))</f>
        <v>00 NOT FOUND</v>
      </c>
      <c r="J212" t="str">
        <f>IF(A212="","",INDEX(Reference!C:C,MATCH(Data!H212,Reference!A:A,0),0))</f>
        <v/>
      </c>
      <c r="K212" t="str">
        <f t="shared" ca="1" si="23"/>
        <v/>
      </c>
      <c r="L212" t="str">
        <f t="shared" si="24"/>
        <v/>
      </c>
    </row>
    <row r="213" spans="5:12" x14ac:dyDescent="0.25">
      <c r="E213" s="56" t="str">
        <f t="shared" si="20"/>
        <v/>
      </c>
      <c r="F213" s="56" t="str">
        <f t="shared" si="21"/>
        <v/>
      </c>
      <c r="H213" t="str">
        <f t="shared" si="22"/>
        <v/>
      </c>
      <c r="I213" t="str">
        <f>IF(A213="","00 NOT FOUND",INDEX(Reference!B:B,MATCH(Data!H213,Reference!A:A,0),0))</f>
        <v>00 NOT FOUND</v>
      </c>
      <c r="J213" t="str">
        <f>IF(A213="","",INDEX(Reference!C:C,MATCH(Data!H213,Reference!A:A,0),0))</f>
        <v/>
      </c>
      <c r="K213" t="str">
        <f t="shared" ca="1" si="23"/>
        <v/>
      </c>
      <c r="L213" t="str">
        <f t="shared" si="24"/>
        <v/>
      </c>
    </row>
    <row r="214" spans="5:12" x14ac:dyDescent="0.25">
      <c r="E214" s="56" t="str">
        <f t="shared" si="20"/>
        <v/>
      </c>
      <c r="F214" s="56" t="str">
        <f t="shared" si="21"/>
        <v/>
      </c>
      <c r="H214" t="str">
        <f t="shared" si="22"/>
        <v/>
      </c>
      <c r="I214" t="str">
        <f>IF(A214="","00 NOT FOUND",INDEX(Reference!B:B,MATCH(Data!H214,Reference!A:A,0),0))</f>
        <v>00 NOT FOUND</v>
      </c>
      <c r="J214" t="str">
        <f>IF(A214="","",INDEX(Reference!C:C,MATCH(Data!H214,Reference!A:A,0),0))</f>
        <v/>
      </c>
      <c r="K214" t="str">
        <f t="shared" ca="1" si="23"/>
        <v/>
      </c>
      <c r="L214" t="str">
        <f t="shared" si="24"/>
        <v/>
      </c>
    </row>
    <row r="215" spans="5:12" x14ac:dyDescent="0.25">
      <c r="E215" s="56" t="str">
        <f t="shared" si="20"/>
        <v/>
      </c>
      <c r="F215" s="56" t="str">
        <f t="shared" si="21"/>
        <v/>
      </c>
      <c r="H215" t="str">
        <f t="shared" si="22"/>
        <v/>
      </c>
      <c r="I215" t="str">
        <f>IF(A215="","00 NOT FOUND",INDEX(Reference!B:B,MATCH(Data!H215,Reference!A:A,0),0))</f>
        <v>00 NOT FOUND</v>
      </c>
      <c r="J215" t="str">
        <f>IF(A215="","",INDEX(Reference!C:C,MATCH(Data!H215,Reference!A:A,0),0))</f>
        <v/>
      </c>
      <c r="K215" t="str">
        <f t="shared" ca="1" si="23"/>
        <v/>
      </c>
      <c r="L215" t="str">
        <f t="shared" si="24"/>
        <v/>
      </c>
    </row>
    <row r="216" spans="5:12" x14ac:dyDescent="0.25">
      <c r="E216" s="56" t="str">
        <f t="shared" si="20"/>
        <v/>
      </c>
      <c r="F216" s="56" t="str">
        <f t="shared" si="21"/>
        <v/>
      </c>
      <c r="H216" t="str">
        <f t="shared" si="22"/>
        <v/>
      </c>
      <c r="I216" t="str">
        <f>IF(A216="","00 NOT FOUND",INDEX(Reference!B:B,MATCH(Data!H216,Reference!A:A,0),0))</f>
        <v>00 NOT FOUND</v>
      </c>
      <c r="J216" t="str">
        <f>IF(A216="","",INDEX(Reference!C:C,MATCH(Data!H216,Reference!A:A,0),0))</f>
        <v/>
      </c>
      <c r="K216" t="str">
        <f t="shared" ca="1" si="23"/>
        <v/>
      </c>
      <c r="L216" t="str">
        <f t="shared" si="24"/>
        <v/>
      </c>
    </row>
    <row r="217" spans="5:12" x14ac:dyDescent="0.25">
      <c r="E217" s="56" t="str">
        <f t="shared" si="20"/>
        <v/>
      </c>
      <c r="F217" s="56" t="str">
        <f t="shared" si="21"/>
        <v/>
      </c>
      <c r="H217" t="str">
        <f t="shared" si="22"/>
        <v/>
      </c>
      <c r="I217" t="str">
        <f>IF(A217="","00 NOT FOUND",INDEX(Reference!B:B,MATCH(Data!H217,Reference!A:A,0),0))</f>
        <v>00 NOT FOUND</v>
      </c>
      <c r="J217" t="str">
        <f>IF(A217="","",INDEX(Reference!C:C,MATCH(Data!H217,Reference!A:A,0),0))</f>
        <v/>
      </c>
      <c r="K217" t="str">
        <f t="shared" ca="1" si="23"/>
        <v/>
      </c>
      <c r="L217" t="str">
        <f t="shared" si="24"/>
        <v/>
      </c>
    </row>
    <row r="218" spans="5:12" x14ac:dyDescent="0.25">
      <c r="E218" s="56" t="str">
        <f t="shared" si="20"/>
        <v/>
      </c>
      <c r="F218" s="56" t="str">
        <f t="shared" si="21"/>
        <v/>
      </c>
      <c r="H218" t="str">
        <f t="shared" si="22"/>
        <v/>
      </c>
      <c r="I218" t="str">
        <f>IF(A218="","00 NOT FOUND",INDEX(Reference!B:B,MATCH(Data!H218,Reference!A:A,0),0))</f>
        <v>00 NOT FOUND</v>
      </c>
      <c r="J218" t="str">
        <f>IF(A218="","",INDEX(Reference!C:C,MATCH(Data!H218,Reference!A:A,0),0))</f>
        <v/>
      </c>
      <c r="K218" t="str">
        <f t="shared" ca="1" si="23"/>
        <v/>
      </c>
      <c r="L218" t="str">
        <f t="shared" si="24"/>
        <v/>
      </c>
    </row>
    <row r="219" spans="5:12" x14ac:dyDescent="0.25">
      <c r="E219" s="56" t="str">
        <f t="shared" si="20"/>
        <v/>
      </c>
      <c r="F219" s="56" t="str">
        <f t="shared" si="21"/>
        <v/>
      </c>
      <c r="H219" t="str">
        <f t="shared" si="22"/>
        <v/>
      </c>
      <c r="I219" t="str">
        <f>IF(A219="","00 NOT FOUND",INDEX(Reference!B:B,MATCH(Data!H219,Reference!A:A,0),0))</f>
        <v>00 NOT FOUND</v>
      </c>
      <c r="J219" t="str">
        <f>IF(A219="","",INDEX(Reference!C:C,MATCH(Data!H219,Reference!A:A,0),0))</f>
        <v/>
      </c>
      <c r="K219" t="str">
        <f t="shared" ca="1" si="23"/>
        <v/>
      </c>
      <c r="L219" t="str">
        <f t="shared" si="24"/>
        <v/>
      </c>
    </row>
    <row r="220" spans="5:12" x14ac:dyDescent="0.25">
      <c r="E220" s="56" t="str">
        <f t="shared" si="20"/>
        <v/>
      </c>
      <c r="F220" s="56" t="str">
        <f t="shared" si="21"/>
        <v/>
      </c>
      <c r="H220" t="str">
        <f t="shared" si="22"/>
        <v/>
      </c>
      <c r="I220" t="str">
        <f>IF(A220="","00 NOT FOUND",INDEX(Reference!B:B,MATCH(Data!H220,Reference!A:A,0),0))</f>
        <v>00 NOT FOUND</v>
      </c>
      <c r="J220" t="str">
        <f>IF(A220="","",INDEX(Reference!C:C,MATCH(Data!H220,Reference!A:A,0),0))</f>
        <v/>
      </c>
      <c r="K220" t="str">
        <f t="shared" ca="1" si="23"/>
        <v/>
      </c>
      <c r="L220" t="str">
        <f t="shared" si="24"/>
        <v/>
      </c>
    </row>
    <row r="221" spans="5:12" x14ac:dyDescent="0.25">
      <c r="E221" s="56" t="str">
        <f t="shared" si="20"/>
        <v/>
      </c>
      <c r="F221" s="56" t="str">
        <f t="shared" si="21"/>
        <v/>
      </c>
      <c r="H221" t="str">
        <f t="shared" si="22"/>
        <v/>
      </c>
      <c r="I221" t="str">
        <f>IF(A221="","00 NOT FOUND",INDEX(Reference!B:B,MATCH(Data!H221,Reference!A:A,0),0))</f>
        <v>00 NOT FOUND</v>
      </c>
      <c r="J221" t="str">
        <f>IF(A221="","",INDEX(Reference!C:C,MATCH(Data!H221,Reference!A:A,0),0))</f>
        <v/>
      </c>
      <c r="K221" t="str">
        <f t="shared" ca="1" si="23"/>
        <v/>
      </c>
      <c r="L221" t="str">
        <f t="shared" si="24"/>
        <v/>
      </c>
    </row>
    <row r="222" spans="5:12" x14ac:dyDescent="0.25">
      <c r="E222" s="56" t="str">
        <f t="shared" si="20"/>
        <v/>
      </c>
      <c r="F222" s="56" t="str">
        <f t="shared" si="21"/>
        <v/>
      </c>
      <c r="H222" t="str">
        <f t="shared" si="22"/>
        <v/>
      </c>
      <c r="I222" t="str">
        <f>IF(A222="","00 NOT FOUND",INDEX(Reference!B:B,MATCH(Data!H222,Reference!A:A,0),0))</f>
        <v>00 NOT FOUND</v>
      </c>
      <c r="J222" t="str">
        <f>IF(A222="","",INDEX(Reference!C:C,MATCH(Data!H222,Reference!A:A,0),0))</f>
        <v/>
      </c>
      <c r="K222" t="str">
        <f t="shared" ca="1" si="23"/>
        <v/>
      </c>
      <c r="L222" t="str">
        <f t="shared" si="24"/>
        <v/>
      </c>
    </row>
    <row r="223" spans="5:12" x14ac:dyDescent="0.25">
      <c r="E223" s="56" t="str">
        <f t="shared" si="20"/>
        <v/>
      </c>
      <c r="F223" s="56" t="str">
        <f t="shared" si="21"/>
        <v/>
      </c>
      <c r="H223" t="str">
        <f t="shared" si="22"/>
        <v/>
      </c>
      <c r="I223" t="str">
        <f>IF(A223="","00 NOT FOUND",INDEX(Reference!B:B,MATCH(Data!H223,Reference!A:A,0),0))</f>
        <v>00 NOT FOUND</v>
      </c>
      <c r="J223" t="str">
        <f>IF(A223="","",INDEX(Reference!C:C,MATCH(Data!H223,Reference!A:A,0),0))</f>
        <v/>
      </c>
      <c r="K223" t="str">
        <f t="shared" ca="1" si="23"/>
        <v/>
      </c>
      <c r="L223" t="str">
        <f t="shared" si="24"/>
        <v/>
      </c>
    </row>
    <row r="224" spans="5:12" x14ac:dyDescent="0.25">
      <c r="E224" s="56" t="str">
        <f t="shared" si="20"/>
        <v/>
      </c>
      <c r="F224" s="56" t="str">
        <f t="shared" si="21"/>
        <v/>
      </c>
      <c r="H224" t="str">
        <f t="shared" si="22"/>
        <v/>
      </c>
      <c r="I224" t="str">
        <f>IF(A224="","00 NOT FOUND",INDEX(Reference!B:B,MATCH(Data!H224,Reference!A:A,0),0))</f>
        <v>00 NOT FOUND</v>
      </c>
      <c r="J224" t="str">
        <f>IF(A224="","",INDEX(Reference!C:C,MATCH(Data!H224,Reference!A:A,0),0))</f>
        <v/>
      </c>
      <c r="K224" t="str">
        <f t="shared" ca="1" si="23"/>
        <v/>
      </c>
      <c r="L224" t="str">
        <f t="shared" si="24"/>
        <v/>
      </c>
    </row>
    <row r="225" spans="5:12" x14ac:dyDescent="0.25">
      <c r="E225" s="56" t="str">
        <f t="shared" si="20"/>
        <v/>
      </c>
      <c r="F225" s="56" t="str">
        <f t="shared" si="21"/>
        <v/>
      </c>
      <c r="H225" t="str">
        <f t="shared" si="22"/>
        <v/>
      </c>
      <c r="I225" t="str">
        <f>IF(A225="","00 NOT FOUND",INDEX(Reference!B:B,MATCH(Data!H225,Reference!A:A,0),0))</f>
        <v>00 NOT FOUND</v>
      </c>
      <c r="J225" t="str">
        <f>IF(A225="","",INDEX(Reference!C:C,MATCH(Data!H225,Reference!A:A,0),0))</f>
        <v/>
      </c>
      <c r="K225" t="str">
        <f t="shared" ca="1" si="23"/>
        <v/>
      </c>
      <c r="L225" t="str">
        <f t="shared" si="24"/>
        <v/>
      </c>
    </row>
    <row r="226" spans="5:12" x14ac:dyDescent="0.25">
      <c r="E226" s="56" t="str">
        <f t="shared" si="20"/>
        <v/>
      </c>
      <c r="F226" s="56" t="str">
        <f t="shared" si="21"/>
        <v/>
      </c>
      <c r="H226" t="str">
        <f t="shared" si="22"/>
        <v/>
      </c>
      <c r="I226" t="str">
        <f>IF(A226="","00 NOT FOUND",INDEX(Reference!B:B,MATCH(Data!H226,Reference!A:A,0),0))</f>
        <v>00 NOT FOUND</v>
      </c>
      <c r="J226" t="str">
        <f>IF(A226="","",INDEX(Reference!C:C,MATCH(Data!H226,Reference!A:A,0),0))</f>
        <v/>
      </c>
      <c r="K226" t="str">
        <f t="shared" ca="1" si="23"/>
        <v/>
      </c>
      <c r="L226" t="str">
        <f t="shared" si="24"/>
        <v/>
      </c>
    </row>
    <row r="227" spans="5:12" x14ac:dyDescent="0.25">
      <c r="E227" s="56" t="str">
        <f t="shared" si="20"/>
        <v/>
      </c>
      <c r="F227" s="56" t="str">
        <f t="shared" si="21"/>
        <v/>
      </c>
      <c r="H227" t="str">
        <f t="shared" si="22"/>
        <v/>
      </c>
      <c r="I227" t="str">
        <f>IF(A227="","00 NOT FOUND",INDEX(Reference!B:B,MATCH(Data!H227,Reference!A:A,0),0))</f>
        <v>00 NOT FOUND</v>
      </c>
      <c r="J227" t="str">
        <f>IF(A227="","",INDEX(Reference!C:C,MATCH(Data!H227,Reference!A:A,0),0))</f>
        <v/>
      </c>
      <c r="K227" t="str">
        <f t="shared" ca="1" si="23"/>
        <v/>
      </c>
      <c r="L227" t="str">
        <f t="shared" si="24"/>
        <v/>
      </c>
    </row>
    <row r="228" spans="5:12" x14ac:dyDescent="0.25">
      <c r="E228" s="56" t="str">
        <f t="shared" si="20"/>
        <v/>
      </c>
      <c r="F228" s="56" t="str">
        <f t="shared" si="21"/>
        <v/>
      </c>
      <c r="H228" t="str">
        <f t="shared" si="22"/>
        <v/>
      </c>
      <c r="I228" t="str">
        <f>IF(A228="","00 NOT FOUND",INDEX(Reference!B:B,MATCH(Data!H228,Reference!A:A,0),0))</f>
        <v>00 NOT FOUND</v>
      </c>
      <c r="J228" t="str">
        <f>IF(A228="","",INDEX(Reference!C:C,MATCH(Data!H228,Reference!A:A,0),0))</f>
        <v/>
      </c>
      <c r="K228" t="str">
        <f t="shared" ca="1" si="23"/>
        <v/>
      </c>
      <c r="L228" t="str">
        <f t="shared" si="24"/>
        <v/>
      </c>
    </row>
    <row r="229" spans="5:12" x14ac:dyDescent="0.25">
      <c r="E229" s="56" t="str">
        <f t="shared" si="20"/>
        <v/>
      </c>
      <c r="F229" s="56" t="str">
        <f t="shared" si="21"/>
        <v/>
      </c>
      <c r="H229" t="str">
        <f t="shared" si="22"/>
        <v/>
      </c>
      <c r="I229" t="str">
        <f>IF(A229="","00 NOT FOUND",INDEX(Reference!B:B,MATCH(Data!H229,Reference!A:A,0),0))</f>
        <v>00 NOT FOUND</v>
      </c>
      <c r="J229" t="str">
        <f>IF(A229="","",INDEX(Reference!C:C,MATCH(Data!H229,Reference!A:A,0),0))</f>
        <v/>
      </c>
      <c r="K229" t="str">
        <f t="shared" ca="1" si="23"/>
        <v/>
      </c>
      <c r="L229" t="str">
        <f t="shared" si="24"/>
        <v/>
      </c>
    </row>
    <row r="230" spans="5:12" x14ac:dyDescent="0.25">
      <c r="E230" s="56" t="str">
        <f t="shared" si="20"/>
        <v/>
      </c>
      <c r="F230" s="56" t="str">
        <f t="shared" si="21"/>
        <v/>
      </c>
      <c r="H230" t="str">
        <f t="shared" si="22"/>
        <v/>
      </c>
      <c r="I230" t="str">
        <f>IF(A230="","00 NOT FOUND",INDEX(Reference!B:B,MATCH(Data!H230,Reference!A:A,0),0))</f>
        <v>00 NOT FOUND</v>
      </c>
      <c r="J230" t="str">
        <f>IF(A230="","",INDEX(Reference!C:C,MATCH(Data!H230,Reference!A:A,0),0))</f>
        <v/>
      </c>
      <c r="K230" t="str">
        <f t="shared" ca="1" si="23"/>
        <v/>
      </c>
      <c r="L230" t="str">
        <f t="shared" si="24"/>
        <v/>
      </c>
    </row>
    <row r="231" spans="5:12" x14ac:dyDescent="0.25">
      <c r="E231" s="56" t="str">
        <f t="shared" si="20"/>
        <v/>
      </c>
      <c r="F231" s="56" t="str">
        <f t="shared" si="21"/>
        <v/>
      </c>
      <c r="H231" t="str">
        <f t="shared" si="22"/>
        <v/>
      </c>
      <c r="I231" t="str">
        <f>IF(A231="","00 NOT FOUND",INDEX(Reference!B:B,MATCH(Data!H231,Reference!A:A,0),0))</f>
        <v>00 NOT FOUND</v>
      </c>
      <c r="J231" t="str">
        <f>IF(A231="","",INDEX(Reference!C:C,MATCH(Data!H231,Reference!A:A,0),0))</f>
        <v/>
      </c>
      <c r="K231" t="str">
        <f t="shared" ca="1" si="23"/>
        <v/>
      </c>
      <c r="L231" t="str">
        <f t="shared" si="24"/>
        <v/>
      </c>
    </row>
    <row r="232" spans="5:12" x14ac:dyDescent="0.25">
      <c r="E232" s="56" t="str">
        <f t="shared" si="20"/>
        <v/>
      </c>
      <c r="F232" s="56" t="str">
        <f t="shared" si="21"/>
        <v/>
      </c>
      <c r="H232" t="str">
        <f t="shared" si="22"/>
        <v/>
      </c>
      <c r="I232" t="str">
        <f>IF(A232="","00 NOT FOUND",INDEX(Reference!B:B,MATCH(Data!H232,Reference!A:A,0),0))</f>
        <v>00 NOT FOUND</v>
      </c>
      <c r="J232" t="str">
        <f>IF(A232="","",INDEX(Reference!C:C,MATCH(Data!H232,Reference!A:A,0),0))</f>
        <v/>
      </c>
      <c r="K232" t="str">
        <f t="shared" ca="1" si="23"/>
        <v/>
      </c>
      <c r="L232" t="str">
        <f t="shared" si="24"/>
        <v/>
      </c>
    </row>
    <row r="233" spans="5:12" x14ac:dyDescent="0.25">
      <c r="E233" s="56" t="str">
        <f t="shared" si="20"/>
        <v/>
      </c>
      <c r="F233" s="56" t="str">
        <f t="shared" si="21"/>
        <v/>
      </c>
      <c r="H233" t="str">
        <f t="shared" si="22"/>
        <v/>
      </c>
      <c r="I233" t="str">
        <f>IF(A233="","00 NOT FOUND",INDEX(Reference!B:B,MATCH(Data!H233,Reference!A:A,0),0))</f>
        <v>00 NOT FOUND</v>
      </c>
      <c r="J233" t="str">
        <f>IF(A233="","",INDEX(Reference!C:C,MATCH(Data!H233,Reference!A:A,0),0))</f>
        <v/>
      </c>
      <c r="K233" t="str">
        <f t="shared" ca="1" si="23"/>
        <v/>
      </c>
      <c r="L233" t="str">
        <f t="shared" si="24"/>
        <v/>
      </c>
    </row>
    <row r="234" spans="5:12" x14ac:dyDescent="0.25">
      <c r="E234" s="56" t="str">
        <f t="shared" si="20"/>
        <v/>
      </c>
      <c r="F234" s="56" t="str">
        <f t="shared" si="21"/>
        <v/>
      </c>
      <c r="H234" t="str">
        <f t="shared" si="22"/>
        <v/>
      </c>
      <c r="I234" t="str">
        <f>IF(A234="","00 NOT FOUND",INDEX(Reference!B:B,MATCH(Data!H234,Reference!A:A,0),0))</f>
        <v>00 NOT FOUND</v>
      </c>
      <c r="J234" t="str">
        <f>IF(A234="","",INDEX(Reference!C:C,MATCH(Data!H234,Reference!A:A,0),0))</f>
        <v/>
      </c>
      <c r="K234" t="str">
        <f t="shared" ca="1" si="23"/>
        <v/>
      </c>
      <c r="L234" t="str">
        <f t="shared" si="24"/>
        <v/>
      </c>
    </row>
    <row r="235" spans="5:12" x14ac:dyDescent="0.25">
      <c r="E235" s="56" t="str">
        <f t="shared" si="20"/>
        <v/>
      </c>
      <c r="F235" s="56" t="str">
        <f t="shared" si="21"/>
        <v/>
      </c>
      <c r="H235" t="str">
        <f t="shared" si="22"/>
        <v/>
      </c>
      <c r="I235" t="str">
        <f>IF(A235="","00 NOT FOUND",INDEX(Reference!B:B,MATCH(Data!H235,Reference!A:A,0),0))</f>
        <v>00 NOT FOUND</v>
      </c>
      <c r="J235" t="str">
        <f>IF(A235="","",INDEX(Reference!C:C,MATCH(Data!H235,Reference!A:A,0),0))</f>
        <v/>
      </c>
      <c r="K235" t="str">
        <f t="shared" ca="1" si="23"/>
        <v/>
      </c>
      <c r="L235" t="str">
        <f t="shared" si="24"/>
        <v/>
      </c>
    </row>
    <row r="236" spans="5:12" x14ac:dyDescent="0.25">
      <c r="E236" s="56" t="str">
        <f t="shared" si="20"/>
        <v/>
      </c>
      <c r="F236" s="56" t="str">
        <f t="shared" si="21"/>
        <v/>
      </c>
      <c r="H236" t="str">
        <f t="shared" si="22"/>
        <v/>
      </c>
      <c r="I236" t="str">
        <f>IF(A236="","00 NOT FOUND",INDEX(Reference!B:B,MATCH(Data!H236,Reference!A:A,0),0))</f>
        <v>00 NOT FOUND</v>
      </c>
      <c r="J236" t="str">
        <f>IF(A236="","",INDEX(Reference!C:C,MATCH(Data!H236,Reference!A:A,0),0))</f>
        <v/>
      </c>
      <c r="K236" t="str">
        <f t="shared" ca="1" si="23"/>
        <v/>
      </c>
      <c r="L236" t="str">
        <f t="shared" si="24"/>
        <v/>
      </c>
    </row>
    <row r="237" spans="5:12" x14ac:dyDescent="0.25">
      <c r="E237" s="56" t="str">
        <f t="shared" si="20"/>
        <v/>
      </c>
      <c r="F237" s="56" t="str">
        <f t="shared" si="21"/>
        <v/>
      </c>
      <c r="H237" t="str">
        <f t="shared" si="22"/>
        <v/>
      </c>
      <c r="I237" t="str">
        <f>IF(A237="","00 NOT FOUND",INDEX(Reference!B:B,MATCH(Data!H237,Reference!A:A,0),0))</f>
        <v>00 NOT FOUND</v>
      </c>
      <c r="J237" t="str">
        <f>IF(A237="","",INDEX(Reference!C:C,MATCH(Data!H237,Reference!A:A,0),0))</f>
        <v/>
      </c>
      <c r="K237" t="str">
        <f t="shared" ca="1" si="23"/>
        <v/>
      </c>
      <c r="L237" t="str">
        <f t="shared" si="24"/>
        <v/>
      </c>
    </row>
    <row r="238" spans="5:12" x14ac:dyDescent="0.25">
      <c r="E238" s="56" t="str">
        <f t="shared" si="20"/>
        <v/>
      </c>
      <c r="F238" s="56" t="str">
        <f t="shared" si="21"/>
        <v/>
      </c>
      <c r="H238" t="str">
        <f t="shared" si="22"/>
        <v/>
      </c>
      <c r="I238" t="str">
        <f>IF(A238="","00 NOT FOUND",INDEX(Reference!B:B,MATCH(Data!H238,Reference!A:A,0),0))</f>
        <v>00 NOT FOUND</v>
      </c>
      <c r="J238" t="str">
        <f>IF(A238="","",INDEX(Reference!C:C,MATCH(Data!H238,Reference!A:A,0),0))</f>
        <v/>
      </c>
      <c r="K238" t="str">
        <f t="shared" ca="1" si="23"/>
        <v/>
      </c>
      <c r="L238" t="str">
        <f t="shared" si="24"/>
        <v/>
      </c>
    </row>
    <row r="239" spans="5:12" x14ac:dyDescent="0.25">
      <c r="E239" s="56" t="str">
        <f t="shared" si="20"/>
        <v/>
      </c>
      <c r="F239" s="56" t="str">
        <f t="shared" si="21"/>
        <v/>
      </c>
      <c r="H239" t="str">
        <f t="shared" si="22"/>
        <v/>
      </c>
      <c r="I239" t="str">
        <f>IF(A239="","00 NOT FOUND",INDEX(Reference!B:B,MATCH(Data!H239,Reference!A:A,0),0))</f>
        <v>00 NOT FOUND</v>
      </c>
      <c r="J239" t="str">
        <f>IF(A239="","",INDEX(Reference!C:C,MATCH(Data!H239,Reference!A:A,0),0))</f>
        <v/>
      </c>
      <c r="K239" t="str">
        <f t="shared" ca="1" si="23"/>
        <v/>
      </c>
      <c r="L239" t="str">
        <f t="shared" si="24"/>
        <v/>
      </c>
    </row>
    <row r="240" spans="5:12" x14ac:dyDescent="0.25">
      <c r="E240" s="56" t="str">
        <f t="shared" si="20"/>
        <v/>
      </c>
      <c r="F240" s="56" t="str">
        <f t="shared" si="21"/>
        <v/>
      </c>
      <c r="H240" t="str">
        <f t="shared" si="22"/>
        <v/>
      </c>
      <c r="I240" t="str">
        <f>IF(A240="","00 NOT FOUND",INDEX(Reference!B:B,MATCH(Data!H240,Reference!A:A,0),0))</f>
        <v>00 NOT FOUND</v>
      </c>
      <c r="J240" t="str">
        <f>IF(A240="","",INDEX(Reference!C:C,MATCH(Data!H240,Reference!A:A,0),0))</f>
        <v/>
      </c>
      <c r="K240" t="str">
        <f t="shared" ca="1" si="23"/>
        <v/>
      </c>
      <c r="L240" t="str">
        <f t="shared" si="24"/>
        <v/>
      </c>
    </row>
    <row r="241" spans="5:12" x14ac:dyDescent="0.25">
      <c r="E241" s="56" t="str">
        <f t="shared" si="20"/>
        <v/>
      </c>
      <c r="F241" s="56" t="str">
        <f t="shared" si="21"/>
        <v/>
      </c>
      <c r="H241" t="str">
        <f t="shared" si="22"/>
        <v/>
      </c>
      <c r="I241" t="str">
        <f>IF(A241="","00 NOT FOUND",INDEX(Reference!B:B,MATCH(Data!H241,Reference!A:A,0),0))</f>
        <v>00 NOT FOUND</v>
      </c>
      <c r="J241" t="str">
        <f>IF(A241="","",INDEX(Reference!C:C,MATCH(Data!H241,Reference!A:A,0),0))</f>
        <v/>
      </c>
      <c r="K241" t="str">
        <f t="shared" ca="1" si="23"/>
        <v/>
      </c>
      <c r="L241" t="str">
        <f t="shared" si="24"/>
        <v/>
      </c>
    </row>
    <row r="242" spans="5:12" x14ac:dyDescent="0.25">
      <c r="E242" s="56" t="str">
        <f t="shared" si="20"/>
        <v/>
      </c>
      <c r="F242" s="56" t="str">
        <f t="shared" si="21"/>
        <v/>
      </c>
      <c r="H242" t="str">
        <f t="shared" si="22"/>
        <v/>
      </c>
      <c r="I242" t="str">
        <f>IF(A242="","00 NOT FOUND",INDEX(Reference!B:B,MATCH(Data!H242,Reference!A:A,0),0))</f>
        <v>00 NOT FOUND</v>
      </c>
      <c r="J242" t="str">
        <f>IF(A242="","",INDEX(Reference!C:C,MATCH(Data!H242,Reference!A:A,0),0))</f>
        <v/>
      </c>
      <c r="K242" t="str">
        <f t="shared" ca="1" si="23"/>
        <v/>
      </c>
      <c r="L242" t="str">
        <f t="shared" si="24"/>
        <v/>
      </c>
    </row>
    <row r="243" spans="5:12" x14ac:dyDescent="0.25">
      <c r="E243" s="56" t="str">
        <f t="shared" si="20"/>
        <v/>
      </c>
      <c r="F243" s="56" t="str">
        <f t="shared" si="21"/>
        <v/>
      </c>
      <c r="H243" t="str">
        <f t="shared" si="22"/>
        <v/>
      </c>
      <c r="I243" t="str">
        <f>IF(A243="","00 NOT FOUND",INDEX(Reference!B:B,MATCH(Data!H243,Reference!A:A,0),0))</f>
        <v>00 NOT FOUND</v>
      </c>
      <c r="J243" t="str">
        <f>IF(A243="","",INDEX(Reference!C:C,MATCH(Data!H243,Reference!A:A,0),0))</f>
        <v/>
      </c>
      <c r="K243" t="str">
        <f t="shared" ca="1" si="23"/>
        <v/>
      </c>
      <c r="L243" t="str">
        <f t="shared" si="24"/>
        <v/>
      </c>
    </row>
    <row r="244" spans="5:12" x14ac:dyDescent="0.25">
      <c r="E244" s="56" t="str">
        <f t="shared" si="20"/>
        <v/>
      </c>
      <c r="F244" s="56" t="str">
        <f t="shared" si="21"/>
        <v/>
      </c>
      <c r="H244" t="str">
        <f t="shared" si="22"/>
        <v/>
      </c>
      <c r="I244" t="str">
        <f>IF(A244="","00 NOT FOUND",INDEX(Reference!B:B,MATCH(Data!H244,Reference!A:A,0),0))</f>
        <v>00 NOT FOUND</v>
      </c>
      <c r="J244" t="str">
        <f>IF(A244="","",INDEX(Reference!C:C,MATCH(Data!H244,Reference!A:A,0),0))</f>
        <v/>
      </c>
      <c r="K244" t="str">
        <f t="shared" ca="1" si="23"/>
        <v/>
      </c>
      <c r="L244" t="str">
        <f t="shared" si="24"/>
        <v/>
      </c>
    </row>
    <row r="245" spans="5:12" x14ac:dyDescent="0.25">
      <c r="E245" s="56" t="str">
        <f t="shared" si="20"/>
        <v/>
      </c>
      <c r="F245" s="56" t="str">
        <f t="shared" si="21"/>
        <v/>
      </c>
      <c r="H245" t="str">
        <f t="shared" si="22"/>
        <v/>
      </c>
      <c r="I245" t="str">
        <f>IF(A245="","00 NOT FOUND",INDEX(Reference!B:B,MATCH(Data!H245,Reference!A:A,0),0))</f>
        <v>00 NOT FOUND</v>
      </c>
      <c r="J245" t="str">
        <f>IF(A245="","",INDEX(Reference!C:C,MATCH(Data!H245,Reference!A:A,0),0))</f>
        <v/>
      </c>
      <c r="K245" t="str">
        <f t="shared" ca="1" si="23"/>
        <v/>
      </c>
      <c r="L245" t="str">
        <f t="shared" si="24"/>
        <v/>
      </c>
    </row>
    <row r="246" spans="5:12" x14ac:dyDescent="0.25">
      <c r="E246" s="56" t="str">
        <f t="shared" si="20"/>
        <v/>
      </c>
      <c r="F246" s="56" t="str">
        <f t="shared" si="21"/>
        <v/>
      </c>
      <c r="H246" t="str">
        <f t="shared" si="22"/>
        <v/>
      </c>
      <c r="I246" t="str">
        <f>IF(A246="","00 NOT FOUND",INDEX(Reference!B:B,MATCH(Data!H246,Reference!A:A,0),0))</f>
        <v>00 NOT FOUND</v>
      </c>
      <c r="J246" t="str">
        <f>IF(A246="","",INDEX(Reference!C:C,MATCH(Data!H246,Reference!A:A,0),0))</f>
        <v/>
      </c>
      <c r="K246" t="str">
        <f t="shared" ca="1" si="23"/>
        <v/>
      </c>
      <c r="L246" t="str">
        <f t="shared" si="24"/>
        <v/>
      </c>
    </row>
    <row r="247" spans="5:12" x14ac:dyDescent="0.25">
      <c r="E247" s="56" t="str">
        <f t="shared" si="20"/>
        <v/>
      </c>
      <c r="F247" s="56" t="str">
        <f t="shared" si="21"/>
        <v/>
      </c>
      <c r="H247" t="str">
        <f t="shared" si="22"/>
        <v/>
      </c>
      <c r="I247" t="str">
        <f>IF(A247="","00 NOT FOUND",INDEX(Reference!B:B,MATCH(Data!H247,Reference!A:A,0),0))</f>
        <v>00 NOT FOUND</v>
      </c>
      <c r="J247" t="str">
        <f>IF(A247="","",INDEX(Reference!C:C,MATCH(Data!H247,Reference!A:A,0),0))</f>
        <v/>
      </c>
      <c r="K247" t="str">
        <f t="shared" ca="1" si="23"/>
        <v/>
      </c>
      <c r="L247" t="str">
        <f t="shared" si="24"/>
        <v/>
      </c>
    </row>
    <row r="248" spans="5:12" x14ac:dyDescent="0.25">
      <c r="E248" s="56" t="str">
        <f t="shared" si="20"/>
        <v/>
      </c>
      <c r="F248" s="56" t="str">
        <f t="shared" si="21"/>
        <v/>
      </c>
      <c r="H248" t="str">
        <f t="shared" si="22"/>
        <v/>
      </c>
      <c r="I248" t="str">
        <f>IF(A248="","00 NOT FOUND",INDEX(Reference!B:B,MATCH(Data!H248,Reference!A:A,0),0))</f>
        <v>00 NOT FOUND</v>
      </c>
      <c r="J248" t="str">
        <f>IF(A248="","",INDEX(Reference!C:C,MATCH(Data!H248,Reference!A:A,0),0))</f>
        <v/>
      </c>
      <c r="K248" t="str">
        <f t="shared" ca="1" si="23"/>
        <v/>
      </c>
      <c r="L248" t="str">
        <f t="shared" si="24"/>
        <v/>
      </c>
    </row>
    <row r="249" spans="5:12" x14ac:dyDescent="0.25">
      <c r="E249" s="56" t="str">
        <f t="shared" si="20"/>
        <v/>
      </c>
      <c r="F249" s="56" t="str">
        <f t="shared" si="21"/>
        <v/>
      </c>
      <c r="H249" t="str">
        <f t="shared" si="22"/>
        <v/>
      </c>
      <c r="I249" t="str">
        <f>IF(A249="","00 NOT FOUND",INDEX(Reference!B:B,MATCH(Data!H249,Reference!A:A,0),0))</f>
        <v>00 NOT FOUND</v>
      </c>
      <c r="J249" t="str">
        <f>IF(A249="","",INDEX(Reference!C:C,MATCH(Data!H249,Reference!A:A,0),0))</f>
        <v/>
      </c>
      <c r="K249" t="str">
        <f t="shared" ca="1" si="23"/>
        <v/>
      </c>
      <c r="L249" t="str">
        <f t="shared" si="24"/>
        <v/>
      </c>
    </row>
    <row r="250" spans="5:12" x14ac:dyDescent="0.25">
      <c r="E250" s="56" t="str">
        <f t="shared" si="20"/>
        <v/>
      </c>
      <c r="F250" s="56" t="str">
        <f t="shared" si="21"/>
        <v/>
      </c>
      <c r="H250" t="str">
        <f t="shared" si="22"/>
        <v/>
      </c>
      <c r="I250" t="str">
        <f>IF(A250="","00 NOT FOUND",INDEX(Reference!B:B,MATCH(Data!H250,Reference!A:A,0),0))</f>
        <v>00 NOT FOUND</v>
      </c>
      <c r="J250" t="str">
        <f>IF(A250="","",INDEX(Reference!C:C,MATCH(Data!H250,Reference!A:A,0),0))</f>
        <v/>
      </c>
      <c r="K250" t="str">
        <f t="shared" ca="1" si="23"/>
        <v/>
      </c>
      <c r="L250" t="str">
        <f t="shared" si="24"/>
        <v/>
      </c>
    </row>
    <row r="251" spans="5:12" x14ac:dyDescent="0.25">
      <c r="E251" s="56" t="str">
        <f t="shared" si="20"/>
        <v/>
      </c>
      <c r="F251" s="56" t="str">
        <f t="shared" si="21"/>
        <v/>
      </c>
      <c r="H251" t="str">
        <f t="shared" si="22"/>
        <v/>
      </c>
      <c r="I251" t="str">
        <f>IF(A251="","00 NOT FOUND",INDEX(Reference!B:B,MATCH(Data!H251,Reference!A:A,0),0))</f>
        <v>00 NOT FOUND</v>
      </c>
      <c r="J251" t="str">
        <f>IF(A251="","",INDEX(Reference!C:C,MATCH(Data!H251,Reference!A:A,0),0))</f>
        <v/>
      </c>
      <c r="K251" t="str">
        <f t="shared" ca="1" si="23"/>
        <v/>
      </c>
      <c r="L251" t="str">
        <f t="shared" si="24"/>
        <v/>
      </c>
    </row>
    <row r="252" spans="5:12" x14ac:dyDescent="0.25">
      <c r="E252" s="56" t="str">
        <f t="shared" si="20"/>
        <v/>
      </c>
      <c r="F252" s="56" t="str">
        <f t="shared" si="21"/>
        <v/>
      </c>
      <c r="H252" t="str">
        <f t="shared" si="22"/>
        <v/>
      </c>
      <c r="I252" t="str">
        <f>IF(A252="","00 NOT FOUND",INDEX(Reference!B:B,MATCH(Data!H252,Reference!A:A,0),0))</f>
        <v>00 NOT FOUND</v>
      </c>
      <c r="J252" t="str">
        <f>IF(A252="","",INDEX(Reference!C:C,MATCH(Data!H252,Reference!A:A,0),0))</f>
        <v/>
      </c>
      <c r="K252" t="str">
        <f t="shared" ca="1" si="23"/>
        <v/>
      </c>
      <c r="L252" t="str">
        <f t="shared" si="24"/>
        <v/>
      </c>
    </row>
    <row r="253" spans="5:12" x14ac:dyDescent="0.25">
      <c r="E253" s="56" t="str">
        <f t="shared" si="20"/>
        <v/>
      </c>
      <c r="F253" s="56" t="str">
        <f t="shared" si="21"/>
        <v/>
      </c>
      <c r="H253" t="str">
        <f t="shared" si="22"/>
        <v/>
      </c>
      <c r="I253" t="str">
        <f>IF(A253="","00 NOT FOUND",INDEX(Reference!B:B,MATCH(Data!H253,Reference!A:A,0),0))</f>
        <v>00 NOT FOUND</v>
      </c>
      <c r="J253" t="str">
        <f>IF(A253="","",INDEX(Reference!C:C,MATCH(Data!H253,Reference!A:A,0),0))</f>
        <v/>
      </c>
      <c r="K253" t="str">
        <f t="shared" ca="1" si="23"/>
        <v/>
      </c>
      <c r="L253" t="str">
        <f t="shared" si="24"/>
        <v/>
      </c>
    </row>
    <row r="254" spans="5:12" x14ac:dyDescent="0.25">
      <c r="E254" s="56" t="str">
        <f t="shared" si="20"/>
        <v/>
      </c>
      <c r="F254" s="56" t="str">
        <f t="shared" si="21"/>
        <v/>
      </c>
      <c r="H254" t="str">
        <f t="shared" si="22"/>
        <v/>
      </c>
      <c r="I254" t="str">
        <f>IF(A254="","00 NOT FOUND",INDEX(Reference!B:B,MATCH(Data!H254,Reference!A:A,0),0))</f>
        <v>00 NOT FOUND</v>
      </c>
      <c r="J254" t="str">
        <f>IF(A254="","",INDEX(Reference!C:C,MATCH(Data!H254,Reference!A:A,0),0))</f>
        <v/>
      </c>
      <c r="K254" t="str">
        <f t="shared" ca="1" si="23"/>
        <v/>
      </c>
      <c r="L254" t="str">
        <f t="shared" si="24"/>
        <v/>
      </c>
    </row>
    <row r="255" spans="5:12" x14ac:dyDescent="0.25">
      <c r="E255" s="56" t="str">
        <f t="shared" si="20"/>
        <v/>
      </c>
      <c r="F255" s="56" t="str">
        <f t="shared" si="21"/>
        <v/>
      </c>
      <c r="H255" t="str">
        <f t="shared" si="22"/>
        <v/>
      </c>
      <c r="I255" t="str">
        <f>IF(A255="","00 NOT FOUND",INDEX(Reference!B:B,MATCH(Data!H255,Reference!A:A,0),0))</f>
        <v>00 NOT FOUND</v>
      </c>
      <c r="J255" t="str">
        <f>IF(A255="","",INDEX(Reference!C:C,MATCH(Data!H255,Reference!A:A,0),0))</f>
        <v/>
      </c>
      <c r="K255" t="str">
        <f t="shared" ca="1" si="23"/>
        <v/>
      </c>
      <c r="L255" t="str">
        <f t="shared" si="24"/>
        <v/>
      </c>
    </row>
    <row r="256" spans="5:12" x14ac:dyDescent="0.25">
      <c r="E256" s="56" t="str">
        <f t="shared" si="20"/>
        <v/>
      </c>
      <c r="F256" s="56" t="str">
        <f t="shared" si="21"/>
        <v/>
      </c>
      <c r="H256" t="str">
        <f t="shared" si="22"/>
        <v/>
      </c>
      <c r="I256" t="str">
        <f>IF(A256="","00 NOT FOUND",INDEX(Reference!B:B,MATCH(Data!H256,Reference!A:A,0),0))</f>
        <v>00 NOT FOUND</v>
      </c>
      <c r="J256" t="str">
        <f>IF(A256="","",INDEX(Reference!C:C,MATCH(Data!H256,Reference!A:A,0),0))</f>
        <v/>
      </c>
      <c r="K256" t="str">
        <f t="shared" ca="1" si="23"/>
        <v/>
      </c>
      <c r="L256" t="str">
        <f t="shared" si="24"/>
        <v/>
      </c>
    </row>
    <row r="257" spans="5:12" x14ac:dyDescent="0.25">
      <c r="E257" s="56" t="str">
        <f t="shared" si="20"/>
        <v/>
      </c>
      <c r="F257" s="56" t="str">
        <f t="shared" si="21"/>
        <v/>
      </c>
      <c r="H257" t="str">
        <f t="shared" si="22"/>
        <v/>
      </c>
      <c r="I257" t="str">
        <f>IF(A257="","00 NOT FOUND",INDEX(Reference!B:B,MATCH(Data!H257,Reference!A:A,0),0))</f>
        <v>00 NOT FOUND</v>
      </c>
      <c r="J257" t="str">
        <f>IF(A257="","",INDEX(Reference!C:C,MATCH(Data!H257,Reference!A:A,0),0))</f>
        <v/>
      </c>
      <c r="K257" t="str">
        <f t="shared" ca="1" si="23"/>
        <v/>
      </c>
      <c r="L257" t="str">
        <f t="shared" si="24"/>
        <v/>
      </c>
    </row>
    <row r="258" spans="5:12" x14ac:dyDescent="0.25">
      <c r="E258" s="56" t="str">
        <f t="shared" si="20"/>
        <v/>
      </c>
      <c r="F258" s="56" t="str">
        <f t="shared" si="21"/>
        <v/>
      </c>
      <c r="H258" t="str">
        <f t="shared" si="22"/>
        <v/>
      </c>
      <c r="I258" t="str">
        <f>IF(A258="","00 NOT FOUND",INDEX(Reference!B:B,MATCH(Data!H258,Reference!A:A,0),0))</f>
        <v>00 NOT FOUND</v>
      </c>
      <c r="J258" t="str">
        <f>IF(A258="","",INDEX(Reference!C:C,MATCH(Data!H258,Reference!A:A,0),0))</f>
        <v/>
      </c>
      <c r="K258" t="str">
        <f t="shared" ca="1" si="23"/>
        <v/>
      </c>
      <c r="L258" t="str">
        <f t="shared" si="24"/>
        <v/>
      </c>
    </row>
    <row r="259" spans="5:12" x14ac:dyDescent="0.25">
      <c r="E259" s="56" t="str">
        <f t="shared" si="20"/>
        <v/>
      </c>
      <c r="F259" s="56" t="str">
        <f t="shared" si="21"/>
        <v/>
      </c>
      <c r="H259" t="str">
        <f t="shared" si="22"/>
        <v/>
      </c>
      <c r="I259" t="str">
        <f>IF(A259="","00 NOT FOUND",INDEX(Reference!B:B,MATCH(Data!H259,Reference!A:A,0),0))</f>
        <v>00 NOT FOUND</v>
      </c>
      <c r="J259" t="str">
        <f>IF(A259="","",INDEX(Reference!C:C,MATCH(Data!H259,Reference!A:A,0),0))</f>
        <v/>
      </c>
      <c r="K259" t="str">
        <f t="shared" ca="1" si="23"/>
        <v/>
      </c>
      <c r="L259" t="str">
        <f t="shared" si="24"/>
        <v/>
      </c>
    </row>
    <row r="260" spans="5:12" x14ac:dyDescent="0.25">
      <c r="E260" s="56" t="str">
        <f t="shared" si="20"/>
        <v/>
      </c>
      <c r="F260" s="56" t="str">
        <f t="shared" si="21"/>
        <v/>
      </c>
      <c r="H260" t="str">
        <f t="shared" si="22"/>
        <v/>
      </c>
      <c r="I260" t="str">
        <f>IF(A260="","00 NOT FOUND",INDEX(Reference!B:B,MATCH(Data!H260,Reference!A:A,0),0))</f>
        <v>00 NOT FOUND</v>
      </c>
      <c r="J260" t="str">
        <f>IF(A260="","",INDEX(Reference!C:C,MATCH(Data!H260,Reference!A:A,0),0))</f>
        <v/>
      </c>
      <c r="K260" t="str">
        <f t="shared" ca="1" si="23"/>
        <v/>
      </c>
      <c r="L260" t="str">
        <f t="shared" si="24"/>
        <v/>
      </c>
    </row>
    <row r="261" spans="5:12" x14ac:dyDescent="0.25">
      <c r="E261" s="56" t="str">
        <f t="shared" si="20"/>
        <v/>
      </c>
      <c r="F261" s="56" t="str">
        <f t="shared" si="21"/>
        <v/>
      </c>
      <c r="H261" t="str">
        <f t="shared" si="22"/>
        <v/>
      </c>
      <c r="I261" t="str">
        <f>IF(A261="","00 NOT FOUND",INDEX(Reference!B:B,MATCH(Data!H261,Reference!A:A,0),0))</f>
        <v>00 NOT FOUND</v>
      </c>
      <c r="J261" t="str">
        <f>IF(A261="","",INDEX(Reference!C:C,MATCH(Data!H261,Reference!A:A,0),0))</f>
        <v/>
      </c>
      <c r="K261" t="str">
        <f t="shared" ca="1" si="23"/>
        <v/>
      </c>
      <c r="L261" t="str">
        <f t="shared" si="24"/>
        <v/>
      </c>
    </row>
    <row r="262" spans="5:12" x14ac:dyDescent="0.25">
      <c r="E262" s="56" t="str">
        <f t="shared" si="20"/>
        <v/>
      </c>
      <c r="F262" s="56" t="str">
        <f t="shared" si="21"/>
        <v/>
      </c>
      <c r="H262" t="str">
        <f t="shared" si="22"/>
        <v/>
      </c>
      <c r="I262" t="str">
        <f>IF(A262="","00 NOT FOUND",INDEX(Reference!B:B,MATCH(Data!H262,Reference!A:A,0),0))</f>
        <v>00 NOT FOUND</v>
      </c>
      <c r="J262" t="str">
        <f>IF(A262="","",INDEX(Reference!C:C,MATCH(Data!H262,Reference!A:A,0),0))</f>
        <v/>
      </c>
      <c r="K262" t="str">
        <f t="shared" ca="1" si="23"/>
        <v/>
      </c>
      <c r="L262" t="str">
        <f t="shared" si="24"/>
        <v/>
      </c>
    </row>
    <row r="263" spans="5:12" x14ac:dyDescent="0.25">
      <c r="E263" s="56" t="str">
        <f t="shared" ref="E263:E301" si="25">IF(A263="","",D263&amp;"\"&amp;H263)</f>
        <v/>
      </c>
      <c r="F263" s="56" t="str">
        <f t="shared" ref="F263:F301" si="26">IF(A263="","",E263&amp;"\"&amp;A263)</f>
        <v/>
      </c>
      <c r="H263" t="str">
        <f t="shared" ref="H263:H301" si="27">IF(A263="","",LEFT(A263,2))</f>
        <v/>
      </c>
      <c r="I263" t="str">
        <f>IF(A263="","00 NOT FOUND",INDEX(Reference!B:B,MATCH(Data!H263,Reference!A:A,0),0))</f>
        <v>00 NOT FOUND</v>
      </c>
      <c r="J263" t="str">
        <f>IF(A263="","",INDEX(Reference!C:C,MATCH(Data!H263,Reference!A:A,0),0))</f>
        <v/>
      </c>
      <c r="K263" t="str">
        <f t="shared" ref="K263:K301" ca="1" si="28">IF(A263="","",I263&amp;" Summary Reports - " &amp; TEXT(NOW(),"YYYY-MM-DD-HHMM"))</f>
        <v/>
      </c>
      <c r="L263" t="str">
        <f t="shared" ref="L263:L301" si="29">IF(A263="","","Hi, kindly refer to the attached. Thanks")</f>
        <v/>
      </c>
    </row>
    <row r="264" spans="5:12" x14ac:dyDescent="0.25">
      <c r="E264" s="56" t="str">
        <f t="shared" si="25"/>
        <v/>
      </c>
      <c r="F264" s="56" t="str">
        <f t="shared" si="26"/>
        <v/>
      </c>
      <c r="H264" t="str">
        <f t="shared" si="27"/>
        <v/>
      </c>
      <c r="I264" t="str">
        <f>IF(A264="","00 NOT FOUND",INDEX(Reference!B:B,MATCH(Data!H264,Reference!A:A,0),0))</f>
        <v>00 NOT FOUND</v>
      </c>
      <c r="J264" t="str">
        <f>IF(A264="","",INDEX(Reference!C:C,MATCH(Data!H264,Reference!A:A,0),0))</f>
        <v/>
      </c>
      <c r="K264" t="str">
        <f t="shared" ca="1" si="28"/>
        <v/>
      </c>
      <c r="L264" t="str">
        <f t="shared" si="29"/>
        <v/>
      </c>
    </row>
    <row r="265" spans="5:12" x14ac:dyDescent="0.25">
      <c r="E265" s="56" t="str">
        <f t="shared" si="25"/>
        <v/>
      </c>
      <c r="F265" s="56" t="str">
        <f t="shared" si="26"/>
        <v/>
      </c>
      <c r="H265" t="str">
        <f t="shared" si="27"/>
        <v/>
      </c>
      <c r="I265" t="str">
        <f>IF(A265="","00 NOT FOUND",INDEX(Reference!B:B,MATCH(Data!H265,Reference!A:A,0),0))</f>
        <v>00 NOT FOUND</v>
      </c>
      <c r="J265" t="str">
        <f>IF(A265="","",INDEX(Reference!C:C,MATCH(Data!H265,Reference!A:A,0),0))</f>
        <v/>
      </c>
      <c r="K265" t="str">
        <f t="shared" ca="1" si="28"/>
        <v/>
      </c>
      <c r="L265" t="str">
        <f t="shared" si="29"/>
        <v/>
      </c>
    </row>
    <row r="266" spans="5:12" x14ac:dyDescent="0.25">
      <c r="E266" s="56" t="str">
        <f t="shared" si="25"/>
        <v/>
      </c>
      <c r="F266" s="56" t="str">
        <f t="shared" si="26"/>
        <v/>
      </c>
      <c r="H266" t="str">
        <f t="shared" si="27"/>
        <v/>
      </c>
      <c r="I266" t="str">
        <f>IF(A266="","00 NOT FOUND",INDEX(Reference!B:B,MATCH(Data!H266,Reference!A:A,0),0))</f>
        <v>00 NOT FOUND</v>
      </c>
      <c r="J266" t="str">
        <f>IF(A266="","",INDEX(Reference!C:C,MATCH(Data!H266,Reference!A:A,0),0))</f>
        <v/>
      </c>
      <c r="K266" t="str">
        <f t="shared" ca="1" si="28"/>
        <v/>
      </c>
      <c r="L266" t="str">
        <f t="shared" si="29"/>
        <v/>
      </c>
    </row>
    <row r="267" spans="5:12" x14ac:dyDescent="0.25">
      <c r="E267" s="56" t="str">
        <f t="shared" si="25"/>
        <v/>
      </c>
      <c r="F267" s="56" t="str">
        <f t="shared" si="26"/>
        <v/>
      </c>
      <c r="H267" t="str">
        <f t="shared" si="27"/>
        <v/>
      </c>
      <c r="I267" t="str">
        <f>IF(A267="","00 NOT FOUND",INDEX(Reference!B:B,MATCH(Data!H267,Reference!A:A,0),0))</f>
        <v>00 NOT FOUND</v>
      </c>
      <c r="J267" t="str">
        <f>IF(A267="","",INDEX(Reference!C:C,MATCH(Data!H267,Reference!A:A,0),0))</f>
        <v/>
      </c>
      <c r="K267" t="str">
        <f t="shared" ca="1" si="28"/>
        <v/>
      </c>
      <c r="L267" t="str">
        <f t="shared" si="29"/>
        <v/>
      </c>
    </row>
    <row r="268" spans="5:12" x14ac:dyDescent="0.25">
      <c r="E268" s="56" t="str">
        <f t="shared" si="25"/>
        <v/>
      </c>
      <c r="F268" s="56" t="str">
        <f t="shared" si="26"/>
        <v/>
      </c>
      <c r="H268" t="str">
        <f t="shared" si="27"/>
        <v/>
      </c>
      <c r="I268" t="str">
        <f>IF(A268="","00 NOT FOUND",INDEX(Reference!B:B,MATCH(Data!H268,Reference!A:A,0),0))</f>
        <v>00 NOT FOUND</v>
      </c>
      <c r="J268" t="str">
        <f>IF(A268="","",INDEX(Reference!C:C,MATCH(Data!H268,Reference!A:A,0),0))</f>
        <v/>
      </c>
      <c r="K268" t="str">
        <f t="shared" ca="1" si="28"/>
        <v/>
      </c>
      <c r="L268" t="str">
        <f t="shared" si="29"/>
        <v/>
      </c>
    </row>
    <row r="269" spans="5:12" x14ac:dyDescent="0.25">
      <c r="E269" s="56" t="str">
        <f t="shared" si="25"/>
        <v/>
      </c>
      <c r="F269" s="56" t="str">
        <f t="shared" si="26"/>
        <v/>
      </c>
      <c r="H269" t="str">
        <f t="shared" si="27"/>
        <v/>
      </c>
      <c r="I269" t="str">
        <f>IF(A269="","00 NOT FOUND",INDEX(Reference!B:B,MATCH(Data!H269,Reference!A:A,0),0))</f>
        <v>00 NOT FOUND</v>
      </c>
      <c r="J269" t="str">
        <f>IF(A269="","",INDEX(Reference!C:C,MATCH(Data!H269,Reference!A:A,0),0))</f>
        <v/>
      </c>
      <c r="K269" t="str">
        <f t="shared" ca="1" si="28"/>
        <v/>
      </c>
      <c r="L269" t="str">
        <f t="shared" si="29"/>
        <v/>
      </c>
    </row>
    <row r="270" spans="5:12" x14ac:dyDescent="0.25">
      <c r="E270" s="56" t="str">
        <f t="shared" si="25"/>
        <v/>
      </c>
      <c r="F270" s="56" t="str">
        <f t="shared" si="26"/>
        <v/>
      </c>
      <c r="H270" t="str">
        <f t="shared" si="27"/>
        <v/>
      </c>
      <c r="I270" t="str">
        <f>IF(A270="","00 NOT FOUND",INDEX(Reference!B:B,MATCH(Data!H270,Reference!A:A,0),0))</f>
        <v>00 NOT FOUND</v>
      </c>
      <c r="J270" t="str">
        <f>IF(A270="","",INDEX(Reference!C:C,MATCH(Data!H270,Reference!A:A,0),0))</f>
        <v/>
      </c>
      <c r="K270" t="str">
        <f t="shared" ca="1" si="28"/>
        <v/>
      </c>
      <c r="L270" t="str">
        <f t="shared" si="29"/>
        <v/>
      </c>
    </row>
    <row r="271" spans="5:12" x14ac:dyDescent="0.25">
      <c r="E271" s="56" t="str">
        <f t="shared" si="25"/>
        <v/>
      </c>
      <c r="F271" s="56" t="str">
        <f t="shared" si="26"/>
        <v/>
      </c>
      <c r="H271" t="str">
        <f t="shared" si="27"/>
        <v/>
      </c>
      <c r="I271" t="str">
        <f>IF(A271="","00 NOT FOUND",INDEX(Reference!B:B,MATCH(Data!H271,Reference!A:A,0),0))</f>
        <v>00 NOT FOUND</v>
      </c>
      <c r="J271" t="str">
        <f>IF(A271="","",INDEX(Reference!C:C,MATCH(Data!H271,Reference!A:A,0),0))</f>
        <v/>
      </c>
      <c r="K271" t="str">
        <f t="shared" ca="1" si="28"/>
        <v/>
      </c>
      <c r="L271" t="str">
        <f t="shared" si="29"/>
        <v/>
      </c>
    </row>
    <row r="272" spans="5:12" x14ac:dyDescent="0.25">
      <c r="E272" s="56" t="str">
        <f t="shared" si="25"/>
        <v/>
      </c>
      <c r="F272" s="56" t="str">
        <f t="shared" si="26"/>
        <v/>
      </c>
      <c r="H272" t="str">
        <f t="shared" si="27"/>
        <v/>
      </c>
      <c r="I272" t="str">
        <f>IF(A272="","00 NOT FOUND",INDEX(Reference!B:B,MATCH(Data!H272,Reference!A:A,0),0))</f>
        <v>00 NOT FOUND</v>
      </c>
      <c r="J272" t="str">
        <f>IF(A272="","",INDEX(Reference!C:C,MATCH(Data!H272,Reference!A:A,0),0))</f>
        <v/>
      </c>
      <c r="K272" t="str">
        <f t="shared" ca="1" si="28"/>
        <v/>
      </c>
      <c r="L272" t="str">
        <f t="shared" si="29"/>
        <v/>
      </c>
    </row>
    <row r="273" spans="5:12" x14ac:dyDescent="0.25">
      <c r="E273" s="56" t="str">
        <f t="shared" si="25"/>
        <v/>
      </c>
      <c r="F273" s="56" t="str">
        <f t="shared" si="26"/>
        <v/>
      </c>
      <c r="H273" t="str">
        <f t="shared" si="27"/>
        <v/>
      </c>
      <c r="I273" t="str">
        <f>IF(A273="","00 NOT FOUND",INDEX(Reference!B:B,MATCH(Data!H273,Reference!A:A,0),0))</f>
        <v>00 NOT FOUND</v>
      </c>
      <c r="J273" t="str">
        <f>IF(A273="","",INDEX(Reference!C:C,MATCH(Data!H273,Reference!A:A,0),0))</f>
        <v/>
      </c>
      <c r="K273" t="str">
        <f t="shared" ca="1" si="28"/>
        <v/>
      </c>
      <c r="L273" t="str">
        <f t="shared" si="29"/>
        <v/>
      </c>
    </row>
    <row r="274" spans="5:12" x14ac:dyDescent="0.25">
      <c r="E274" s="56" t="str">
        <f t="shared" si="25"/>
        <v/>
      </c>
      <c r="F274" s="56" t="str">
        <f t="shared" si="26"/>
        <v/>
      </c>
      <c r="H274" t="str">
        <f t="shared" si="27"/>
        <v/>
      </c>
      <c r="I274" t="str">
        <f>IF(A274="","00 NOT FOUND",INDEX(Reference!B:B,MATCH(Data!H274,Reference!A:A,0),0))</f>
        <v>00 NOT FOUND</v>
      </c>
      <c r="J274" t="str">
        <f>IF(A274="","",INDEX(Reference!C:C,MATCH(Data!H274,Reference!A:A,0),0))</f>
        <v/>
      </c>
      <c r="K274" t="str">
        <f t="shared" ca="1" si="28"/>
        <v/>
      </c>
      <c r="L274" t="str">
        <f t="shared" si="29"/>
        <v/>
      </c>
    </row>
    <row r="275" spans="5:12" x14ac:dyDescent="0.25">
      <c r="E275" s="56" t="str">
        <f t="shared" si="25"/>
        <v/>
      </c>
      <c r="F275" s="56" t="str">
        <f t="shared" si="26"/>
        <v/>
      </c>
      <c r="H275" t="str">
        <f t="shared" si="27"/>
        <v/>
      </c>
      <c r="I275" t="str">
        <f>IF(A275="","00 NOT FOUND",INDEX(Reference!B:B,MATCH(Data!H275,Reference!A:A,0),0))</f>
        <v>00 NOT FOUND</v>
      </c>
      <c r="J275" t="str">
        <f>IF(A275="","",INDEX(Reference!C:C,MATCH(Data!H275,Reference!A:A,0),0))</f>
        <v/>
      </c>
      <c r="K275" t="str">
        <f t="shared" ca="1" si="28"/>
        <v/>
      </c>
      <c r="L275" t="str">
        <f t="shared" si="29"/>
        <v/>
      </c>
    </row>
    <row r="276" spans="5:12" x14ac:dyDescent="0.25">
      <c r="E276" s="56" t="str">
        <f t="shared" si="25"/>
        <v/>
      </c>
      <c r="F276" s="56" t="str">
        <f t="shared" si="26"/>
        <v/>
      </c>
      <c r="H276" t="str">
        <f t="shared" si="27"/>
        <v/>
      </c>
      <c r="I276" t="str">
        <f>IF(A276="","00 NOT FOUND",INDEX(Reference!B:B,MATCH(Data!H276,Reference!A:A,0),0))</f>
        <v>00 NOT FOUND</v>
      </c>
      <c r="J276" t="str">
        <f>IF(A276="","",INDEX(Reference!C:C,MATCH(Data!H276,Reference!A:A,0),0))</f>
        <v/>
      </c>
      <c r="K276" t="str">
        <f t="shared" ca="1" si="28"/>
        <v/>
      </c>
      <c r="L276" t="str">
        <f t="shared" si="29"/>
        <v/>
      </c>
    </row>
    <row r="277" spans="5:12" x14ac:dyDescent="0.25">
      <c r="E277" s="56" t="str">
        <f t="shared" si="25"/>
        <v/>
      </c>
      <c r="F277" s="56" t="str">
        <f t="shared" si="26"/>
        <v/>
      </c>
      <c r="H277" t="str">
        <f t="shared" si="27"/>
        <v/>
      </c>
      <c r="I277" t="str">
        <f>IF(A277="","00 NOT FOUND",INDEX(Reference!B:B,MATCH(Data!H277,Reference!A:A,0),0))</f>
        <v>00 NOT FOUND</v>
      </c>
      <c r="J277" t="str">
        <f>IF(A277="","",INDEX(Reference!C:C,MATCH(Data!H277,Reference!A:A,0),0))</f>
        <v/>
      </c>
      <c r="K277" t="str">
        <f t="shared" ca="1" si="28"/>
        <v/>
      </c>
      <c r="L277" t="str">
        <f t="shared" si="29"/>
        <v/>
      </c>
    </row>
    <row r="278" spans="5:12" x14ac:dyDescent="0.25">
      <c r="E278" s="56" t="str">
        <f t="shared" si="25"/>
        <v/>
      </c>
      <c r="F278" s="56" t="str">
        <f t="shared" si="26"/>
        <v/>
      </c>
      <c r="H278" t="str">
        <f t="shared" si="27"/>
        <v/>
      </c>
      <c r="I278" t="str">
        <f>IF(A278="","00 NOT FOUND",INDEX(Reference!B:B,MATCH(Data!H278,Reference!A:A,0),0))</f>
        <v>00 NOT FOUND</v>
      </c>
      <c r="J278" t="str">
        <f>IF(A278="","",INDEX(Reference!C:C,MATCH(Data!H278,Reference!A:A,0),0))</f>
        <v/>
      </c>
      <c r="K278" t="str">
        <f t="shared" ca="1" si="28"/>
        <v/>
      </c>
      <c r="L278" t="str">
        <f t="shared" si="29"/>
        <v/>
      </c>
    </row>
    <row r="279" spans="5:12" x14ac:dyDescent="0.25">
      <c r="E279" s="56" t="str">
        <f t="shared" si="25"/>
        <v/>
      </c>
      <c r="F279" s="56" t="str">
        <f t="shared" si="26"/>
        <v/>
      </c>
      <c r="H279" t="str">
        <f t="shared" si="27"/>
        <v/>
      </c>
      <c r="I279" t="str">
        <f>IF(A279="","00 NOT FOUND",INDEX(Reference!B:B,MATCH(Data!H279,Reference!A:A,0),0))</f>
        <v>00 NOT FOUND</v>
      </c>
      <c r="J279" t="str">
        <f>IF(A279="","",INDEX(Reference!C:C,MATCH(Data!H279,Reference!A:A,0),0))</f>
        <v/>
      </c>
      <c r="K279" t="str">
        <f t="shared" ca="1" si="28"/>
        <v/>
      </c>
      <c r="L279" t="str">
        <f t="shared" si="29"/>
        <v/>
      </c>
    </row>
    <row r="280" spans="5:12" x14ac:dyDescent="0.25">
      <c r="E280" s="56" t="str">
        <f t="shared" si="25"/>
        <v/>
      </c>
      <c r="F280" s="56" t="str">
        <f t="shared" si="26"/>
        <v/>
      </c>
      <c r="H280" t="str">
        <f t="shared" si="27"/>
        <v/>
      </c>
      <c r="I280" t="str">
        <f>IF(A280="","00 NOT FOUND",INDEX(Reference!B:B,MATCH(Data!H280,Reference!A:A,0),0))</f>
        <v>00 NOT FOUND</v>
      </c>
      <c r="J280" t="str">
        <f>IF(A280="","",INDEX(Reference!C:C,MATCH(Data!H280,Reference!A:A,0),0))</f>
        <v/>
      </c>
      <c r="K280" t="str">
        <f t="shared" ca="1" si="28"/>
        <v/>
      </c>
      <c r="L280" t="str">
        <f t="shared" si="29"/>
        <v/>
      </c>
    </row>
    <row r="281" spans="5:12" x14ac:dyDescent="0.25">
      <c r="E281" s="56" t="str">
        <f t="shared" si="25"/>
        <v/>
      </c>
      <c r="F281" s="56" t="str">
        <f t="shared" si="26"/>
        <v/>
      </c>
      <c r="H281" t="str">
        <f t="shared" si="27"/>
        <v/>
      </c>
      <c r="I281" t="str">
        <f>IF(A281="","00 NOT FOUND",INDEX(Reference!B:B,MATCH(Data!H281,Reference!A:A,0),0))</f>
        <v>00 NOT FOUND</v>
      </c>
      <c r="J281" t="str">
        <f>IF(A281="","",INDEX(Reference!C:C,MATCH(Data!H281,Reference!A:A,0),0))</f>
        <v/>
      </c>
      <c r="K281" t="str">
        <f t="shared" ca="1" si="28"/>
        <v/>
      </c>
      <c r="L281" t="str">
        <f t="shared" si="29"/>
        <v/>
      </c>
    </row>
    <row r="282" spans="5:12" x14ac:dyDescent="0.25">
      <c r="E282" s="56" t="str">
        <f t="shared" si="25"/>
        <v/>
      </c>
      <c r="F282" s="56" t="str">
        <f t="shared" si="26"/>
        <v/>
      </c>
      <c r="H282" t="str">
        <f t="shared" si="27"/>
        <v/>
      </c>
      <c r="I282" t="str">
        <f>IF(A282="","00 NOT FOUND",INDEX(Reference!B:B,MATCH(Data!H282,Reference!A:A,0),0))</f>
        <v>00 NOT FOUND</v>
      </c>
      <c r="J282" t="str">
        <f>IF(A282="","",INDEX(Reference!C:C,MATCH(Data!H282,Reference!A:A,0),0))</f>
        <v/>
      </c>
      <c r="K282" t="str">
        <f t="shared" ca="1" si="28"/>
        <v/>
      </c>
      <c r="L282" t="str">
        <f t="shared" si="29"/>
        <v/>
      </c>
    </row>
    <row r="283" spans="5:12" x14ac:dyDescent="0.25">
      <c r="E283" s="56" t="str">
        <f t="shared" si="25"/>
        <v/>
      </c>
      <c r="F283" s="56" t="str">
        <f t="shared" si="26"/>
        <v/>
      </c>
      <c r="H283" t="str">
        <f t="shared" si="27"/>
        <v/>
      </c>
      <c r="I283" t="str">
        <f>IF(A283="","00 NOT FOUND",INDEX(Reference!B:B,MATCH(Data!H283,Reference!A:A,0),0))</f>
        <v>00 NOT FOUND</v>
      </c>
      <c r="J283" t="str">
        <f>IF(A283="","",INDEX(Reference!C:C,MATCH(Data!H283,Reference!A:A,0),0))</f>
        <v/>
      </c>
      <c r="K283" t="str">
        <f t="shared" ca="1" si="28"/>
        <v/>
      </c>
      <c r="L283" t="str">
        <f t="shared" si="29"/>
        <v/>
      </c>
    </row>
    <row r="284" spans="5:12" x14ac:dyDescent="0.25">
      <c r="E284" s="56" t="str">
        <f t="shared" si="25"/>
        <v/>
      </c>
      <c r="F284" s="56" t="str">
        <f t="shared" si="26"/>
        <v/>
      </c>
      <c r="H284" t="str">
        <f t="shared" si="27"/>
        <v/>
      </c>
      <c r="I284" t="str">
        <f>IF(A284="","00 NOT FOUND",INDEX(Reference!B:B,MATCH(Data!H284,Reference!A:A,0),0))</f>
        <v>00 NOT FOUND</v>
      </c>
      <c r="J284" t="str">
        <f>IF(A284="","",INDEX(Reference!C:C,MATCH(Data!H284,Reference!A:A,0),0))</f>
        <v/>
      </c>
      <c r="K284" t="str">
        <f t="shared" ca="1" si="28"/>
        <v/>
      </c>
      <c r="L284" t="str">
        <f t="shared" si="29"/>
        <v/>
      </c>
    </row>
    <row r="285" spans="5:12" x14ac:dyDescent="0.25">
      <c r="E285" s="56" t="str">
        <f t="shared" si="25"/>
        <v/>
      </c>
      <c r="F285" s="56" t="str">
        <f t="shared" si="26"/>
        <v/>
      </c>
      <c r="H285" t="str">
        <f t="shared" si="27"/>
        <v/>
      </c>
      <c r="I285" t="str">
        <f>IF(A285="","00 NOT FOUND",INDEX(Reference!B:B,MATCH(Data!H285,Reference!A:A,0),0))</f>
        <v>00 NOT FOUND</v>
      </c>
      <c r="J285" t="str">
        <f>IF(A285="","",INDEX(Reference!C:C,MATCH(Data!H285,Reference!A:A,0),0))</f>
        <v/>
      </c>
      <c r="K285" t="str">
        <f t="shared" ca="1" si="28"/>
        <v/>
      </c>
      <c r="L285" t="str">
        <f t="shared" si="29"/>
        <v/>
      </c>
    </row>
    <row r="286" spans="5:12" x14ac:dyDescent="0.25">
      <c r="E286" s="56" t="str">
        <f t="shared" si="25"/>
        <v/>
      </c>
      <c r="F286" s="56" t="str">
        <f t="shared" si="26"/>
        <v/>
      </c>
      <c r="H286" t="str">
        <f t="shared" si="27"/>
        <v/>
      </c>
      <c r="I286" t="str">
        <f>IF(A286="","00 NOT FOUND",INDEX(Reference!B:B,MATCH(Data!H286,Reference!A:A,0),0))</f>
        <v>00 NOT FOUND</v>
      </c>
      <c r="J286" t="str">
        <f>IF(A286="","",INDEX(Reference!C:C,MATCH(Data!H286,Reference!A:A,0),0))</f>
        <v/>
      </c>
      <c r="K286" t="str">
        <f t="shared" ca="1" si="28"/>
        <v/>
      </c>
      <c r="L286" t="str">
        <f t="shared" si="29"/>
        <v/>
      </c>
    </row>
    <row r="287" spans="5:12" x14ac:dyDescent="0.25">
      <c r="E287" s="56" t="str">
        <f t="shared" si="25"/>
        <v/>
      </c>
      <c r="F287" s="56" t="str">
        <f t="shared" si="26"/>
        <v/>
      </c>
      <c r="H287" t="str">
        <f t="shared" si="27"/>
        <v/>
      </c>
      <c r="I287" t="str">
        <f>IF(A287="","00 NOT FOUND",INDEX(Reference!B:B,MATCH(Data!H287,Reference!A:A,0),0))</f>
        <v>00 NOT FOUND</v>
      </c>
      <c r="J287" t="str">
        <f>IF(A287="","",INDEX(Reference!C:C,MATCH(Data!H287,Reference!A:A,0),0))</f>
        <v/>
      </c>
      <c r="K287" t="str">
        <f t="shared" ca="1" si="28"/>
        <v/>
      </c>
      <c r="L287" t="str">
        <f t="shared" si="29"/>
        <v/>
      </c>
    </row>
    <row r="288" spans="5:12" x14ac:dyDescent="0.25">
      <c r="E288" s="56" t="str">
        <f t="shared" si="25"/>
        <v/>
      </c>
      <c r="F288" s="56" t="str">
        <f t="shared" si="26"/>
        <v/>
      </c>
      <c r="H288" t="str">
        <f t="shared" si="27"/>
        <v/>
      </c>
      <c r="I288" t="str">
        <f>IF(A288="","00 NOT FOUND",INDEX(Reference!B:B,MATCH(Data!H288,Reference!A:A,0),0))</f>
        <v>00 NOT FOUND</v>
      </c>
      <c r="J288" t="str">
        <f>IF(A288="","",INDEX(Reference!C:C,MATCH(Data!H288,Reference!A:A,0),0))</f>
        <v/>
      </c>
      <c r="K288" t="str">
        <f t="shared" ca="1" si="28"/>
        <v/>
      </c>
      <c r="L288" t="str">
        <f t="shared" si="29"/>
        <v/>
      </c>
    </row>
    <row r="289" spans="5:12" x14ac:dyDescent="0.25">
      <c r="E289" s="56" t="str">
        <f t="shared" si="25"/>
        <v/>
      </c>
      <c r="F289" s="56" t="str">
        <f t="shared" si="26"/>
        <v/>
      </c>
      <c r="H289" t="str">
        <f t="shared" si="27"/>
        <v/>
      </c>
      <c r="I289" t="str">
        <f>IF(A289="","00 NOT FOUND",INDEX(Reference!B:B,MATCH(Data!H289,Reference!A:A,0),0))</f>
        <v>00 NOT FOUND</v>
      </c>
      <c r="J289" t="str">
        <f>IF(A289="","",INDEX(Reference!C:C,MATCH(Data!H289,Reference!A:A,0),0))</f>
        <v/>
      </c>
      <c r="K289" t="str">
        <f t="shared" ca="1" si="28"/>
        <v/>
      </c>
      <c r="L289" t="str">
        <f t="shared" si="29"/>
        <v/>
      </c>
    </row>
    <row r="290" spans="5:12" x14ac:dyDescent="0.25">
      <c r="E290" s="56" t="str">
        <f t="shared" si="25"/>
        <v/>
      </c>
      <c r="F290" s="56" t="str">
        <f t="shared" si="26"/>
        <v/>
      </c>
      <c r="H290" t="str">
        <f t="shared" si="27"/>
        <v/>
      </c>
      <c r="I290" t="str">
        <f>IF(A290="","00 NOT FOUND",INDEX(Reference!B:B,MATCH(Data!H290,Reference!A:A,0),0))</f>
        <v>00 NOT FOUND</v>
      </c>
      <c r="J290" t="str">
        <f>IF(A290="","",INDEX(Reference!C:C,MATCH(Data!H290,Reference!A:A,0),0))</f>
        <v/>
      </c>
      <c r="K290" t="str">
        <f t="shared" ca="1" si="28"/>
        <v/>
      </c>
      <c r="L290" t="str">
        <f t="shared" si="29"/>
        <v/>
      </c>
    </row>
    <row r="291" spans="5:12" x14ac:dyDescent="0.25">
      <c r="E291" s="56" t="str">
        <f t="shared" si="25"/>
        <v/>
      </c>
      <c r="F291" s="56" t="str">
        <f t="shared" si="26"/>
        <v/>
      </c>
      <c r="H291" t="str">
        <f t="shared" si="27"/>
        <v/>
      </c>
      <c r="I291" t="str">
        <f>IF(A291="","00 NOT FOUND",INDEX(Reference!B:B,MATCH(Data!H291,Reference!A:A,0),0))</f>
        <v>00 NOT FOUND</v>
      </c>
      <c r="J291" t="str">
        <f>IF(A291="","",INDEX(Reference!C:C,MATCH(Data!H291,Reference!A:A,0),0))</f>
        <v/>
      </c>
      <c r="K291" t="str">
        <f t="shared" ca="1" si="28"/>
        <v/>
      </c>
      <c r="L291" t="str">
        <f t="shared" si="29"/>
        <v/>
      </c>
    </row>
    <row r="292" spans="5:12" x14ac:dyDescent="0.25">
      <c r="E292" s="56" t="str">
        <f t="shared" si="25"/>
        <v/>
      </c>
      <c r="F292" s="56" t="str">
        <f t="shared" si="26"/>
        <v/>
      </c>
      <c r="H292" t="str">
        <f t="shared" si="27"/>
        <v/>
      </c>
      <c r="I292" t="str">
        <f>IF(A292="","00 NOT FOUND",INDEX(Reference!B:B,MATCH(Data!H292,Reference!A:A,0),0))</f>
        <v>00 NOT FOUND</v>
      </c>
      <c r="J292" t="str">
        <f>IF(A292="","",INDEX(Reference!C:C,MATCH(Data!H292,Reference!A:A,0),0))</f>
        <v/>
      </c>
      <c r="K292" t="str">
        <f t="shared" ca="1" si="28"/>
        <v/>
      </c>
      <c r="L292" t="str">
        <f t="shared" si="29"/>
        <v/>
      </c>
    </row>
    <row r="293" spans="5:12" x14ac:dyDescent="0.25">
      <c r="E293" s="56" t="str">
        <f t="shared" si="25"/>
        <v/>
      </c>
      <c r="F293" s="56" t="str">
        <f t="shared" si="26"/>
        <v/>
      </c>
      <c r="H293" t="str">
        <f t="shared" si="27"/>
        <v/>
      </c>
      <c r="I293" t="str">
        <f>IF(A293="","00 NOT FOUND",INDEX(Reference!B:B,MATCH(Data!H293,Reference!A:A,0),0))</f>
        <v>00 NOT FOUND</v>
      </c>
      <c r="J293" t="str">
        <f>IF(A293="","",INDEX(Reference!C:C,MATCH(Data!H293,Reference!A:A,0),0))</f>
        <v/>
      </c>
      <c r="K293" t="str">
        <f t="shared" ca="1" si="28"/>
        <v/>
      </c>
      <c r="L293" t="str">
        <f t="shared" si="29"/>
        <v/>
      </c>
    </row>
    <row r="294" spans="5:12" x14ac:dyDescent="0.25">
      <c r="E294" s="56" t="str">
        <f t="shared" si="25"/>
        <v/>
      </c>
      <c r="F294" s="56" t="str">
        <f t="shared" si="26"/>
        <v/>
      </c>
      <c r="H294" t="str">
        <f t="shared" si="27"/>
        <v/>
      </c>
      <c r="I294" t="str">
        <f>IF(A294="","00 NOT FOUND",INDEX(Reference!B:B,MATCH(Data!H294,Reference!A:A,0),0))</f>
        <v>00 NOT FOUND</v>
      </c>
      <c r="J294" t="str">
        <f>IF(A294="","",INDEX(Reference!C:C,MATCH(Data!H294,Reference!A:A,0),0))</f>
        <v/>
      </c>
      <c r="K294" t="str">
        <f t="shared" ca="1" si="28"/>
        <v/>
      </c>
      <c r="L294" t="str">
        <f t="shared" si="29"/>
        <v/>
      </c>
    </row>
    <row r="295" spans="5:12" x14ac:dyDescent="0.25">
      <c r="E295" s="56" t="str">
        <f t="shared" si="25"/>
        <v/>
      </c>
      <c r="F295" s="56" t="str">
        <f t="shared" si="26"/>
        <v/>
      </c>
      <c r="H295" t="str">
        <f t="shared" si="27"/>
        <v/>
      </c>
      <c r="I295" t="str">
        <f>IF(A295="","00 NOT FOUND",INDEX(Reference!B:B,MATCH(Data!H295,Reference!A:A,0),0))</f>
        <v>00 NOT FOUND</v>
      </c>
      <c r="J295" t="str">
        <f>IF(A295="","",INDEX(Reference!C:C,MATCH(Data!H295,Reference!A:A,0),0))</f>
        <v/>
      </c>
      <c r="K295" t="str">
        <f t="shared" ca="1" si="28"/>
        <v/>
      </c>
      <c r="L295" t="str">
        <f t="shared" si="29"/>
        <v/>
      </c>
    </row>
    <row r="296" spans="5:12" x14ac:dyDescent="0.25">
      <c r="E296" s="56" t="str">
        <f t="shared" si="25"/>
        <v/>
      </c>
      <c r="F296" s="56" t="str">
        <f t="shared" si="26"/>
        <v/>
      </c>
      <c r="H296" t="str">
        <f t="shared" si="27"/>
        <v/>
      </c>
      <c r="I296" t="str">
        <f>IF(A296="","00 NOT FOUND",INDEX(Reference!B:B,MATCH(Data!H296,Reference!A:A,0),0))</f>
        <v>00 NOT FOUND</v>
      </c>
      <c r="J296" t="str">
        <f>IF(A296="","",INDEX(Reference!C:C,MATCH(Data!H296,Reference!A:A,0),0))</f>
        <v/>
      </c>
      <c r="K296" t="str">
        <f t="shared" ca="1" si="28"/>
        <v/>
      </c>
      <c r="L296" t="str">
        <f t="shared" si="29"/>
        <v/>
      </c>
    </row>
    <row r="297" spans="5:12" x14ac:dyDescent="0.25">
      <c r="E297" s="56" t="str">
        <f t="shared" si="25"/>
        <v/>
      </c>
      <c r="F297" s="56" t="str">
        <f t="shared" si="26"/>
        <v/>
      </c>
      <c r="H297" t="str">
        <f t="shared" si="27"/>
        <v/>
      </c>
      <c r="I297" t="str">
        <f>IF(A297="","00 NOT FOUND",INDEX(Reference!B:B,MATCH(Data!H297,Reference!A:A,0),0))</f>
        <v>00 NOT FOUND</v>
      </c>
      <c r="J297" t="str">
        <f>IF(A297="","",INDEX(Reference!C:C,MATCH(Data!H297,Reference!A:A,0),0))</f>
        <v/>
      </c>
      <c r="K297" t="str">
        <f t="shared" ca="1" si="28"/>
        <v/>
      </c>
      <c r="L297" t="str">
        <f t="shared" si="29"/>
        <v/>
      </c>
    </row>
    <row r="298" spans="5:12" x14ac:dyDescent="0.25">
      <c r="E298" s="56" t="str">
        <f t="shared" si="25"/>
        <v/>
      </c>
      <c r="F298" s="56" t="str">
        <f t="shared" si="26"/>
        <v/>
      </c>
      <c r="H298" t="str">
        <f t="shared" si="27"/>
        <v/>
      </c>
      <c r="I298" t="str">
        <f>IF(A298="","00 NOT FOUND",INDEX(Reference!B:B,MATCH(Data!H298,Reference!A:A,0),0))</f>
        <v>00 NOT FOUND</v>
      </c>
      <c r="J298" t="str">
        <f>IF(A298="","",INDEX(Reference!C:C,MATCH(Data!H298,Reference!A:A,0),0))</f>
        <v/>
      </c>
      <c r="K298" t="str">
        <f t="shared" ca="1" si="28"/>
        <v/>
      </c>
      <c r="L298" t="str">
        <f t="shared" si="29"/>
        <v/>
      </c>
    </row>
    <row r="299" spans="5:12" x14ac:dyDescent="0.25">
      <c r="E299" s="56" t="str">
        <f t="shared" si="25"/>
        <v/>
      </c>
      <c r="F299" s="56" t="str">
        <f t="shared" si="26"/>
        <v/>
      </c>
      <c r="H299" t="str">
        <f t="shared" si="27"/>
        <v/>
      </c>
      <c r="I299" t="str">
        <f>IF(A299="","00 NOT FOUND",INDEX(Reference!B:B,MATCH(Data!H299,Reference!A:A,0),0))</f>
        <v>00 NOT FOUND</v>
      </c>
      <c r="J299" t="str">
        <f>IF(A299="","",INDEX(Reference!C:C,MATCH(Data!H299,Reference!A:A,0),0))</f>
        <v/>
      </c>
      <c r="K299" t="str">
        <f t="shared" ca="1" si="28"/>
        <v/>
      </c>
      <c r="L299" t="str">
        <f t="shared" si="29"/>
        <v/>
      </c>
    </row>
    <row r="300" spans="5:12" x14ac:dyDescent="0.25">
      <c r="E300" s="56" t="str">
        <f t="shared" si="25"/>
        <v/>
      </c>
      <c r="F300" s="56" t="str">
        <f t="shared" si="26"/>
        <v/>
      </c>
      <c r="H300" t="str">
        <f t="shared" si="27"/>
        <v/>
      </c>
      <c r="I300" t="str">
        <f>IF(A300="","00 NOT FOUND",INDEX(Reference!B:B,MATCH(Data!H300,Reference!A:A,0),0))</f>
        <v>00 NOT FOUND</v>
      </c>
      <c r="J300" t="str">
        <f>IF(A300="","",INDEX(Reference!C:C,MATCH(Data!H300,Reference!A:A,0),0))</f>
        <v/>
      </c>
      <c r="K300" t="str">
        <f t="shared" ca="1" si="28"/>
        <v/>
      </c>
      <c r="L300" t="str">
        <f t="shared" si="29"/>
        <v/>
      </c>
    </row>
    <row r="301" spans="5:12" x14ac:dyDescent="0.25">
      <c r="E301" s="56" t="str">
        <f t="shared" si="25"/>
        <v/>
      </c>
      <c r="F301" s="56" t="str">
        <f t="shared" si="26"/>
        <v/>
      </c>
      <c r="H301" t="str">
        <f t="shared" si="27"/>
        <v/>
      </c>
      <c r="I301" t="str">
        <f>IF(A301="","00 NOT FOUND",INDEX(Reference!B:B,MATCH(Data!H301,Reference!A:A,0),0))</f>
        <v>00 NOT FOUND</v>
      </c>
      <c r="J301" t="str">
        <f>IF(A301="","",INDEX(Reference!C:C,MATCH(Data!H301,Reference!A:A,0),0))</f>
        <v/>
      </c>
      <c r="K301" t="str">
        <f t="shared" ca="1" si="28"/>
        <v/>
      </c>
      <c r="L301" t="str">
        <f t="shared" si="29"/>
        <v/>
      </c>
    </row>
  </sheetData>
  <pageMargins left="0.7" right="0.7" top="0.75" bottom="0.75" header="0.3" footer="0.3"/>
  <pageSetup orientation="portrait" r:id="rId1"/>
  <headerFooter>
    <oddFooter>&amp;C&amp;"Calibri,Regular"&amp;8Template produced by Jerrison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L10"/>
  <sheetViews>
    <sheetView workbookViewId="0">
      <selection sqref="A1:Z400"/>
    </sheetView>
  </sheetViews>
  <sheetFormatPr defaultRowHeight="15" x14ac:dyDescent="0.25"/>
  <cols>
    <col min="10" max="10" width="24.7109375" bestFit="1" customWidth="1"/>
  </cols>
  <sheetData>
    <row r="1" spans="1:12" x14ac:dyDescent="0.25">
      <c r="A1" t="s">
        <v>188</v>
      </c>
      <c r="B1" t="s">
        <v>189</v>
      </c>
      <c r="C1" t="s">
        <v>190</v>
      </c>
      <c r="D1" t="s">
        <v>191</v>
      </c>
      <c r="E1" t="s">
        <v>194</v>
      </c>
      <c r="F1" t="s">
        <v>195</v>
      </c>
      <c r="H1" t="s">
        <v>38</v>
      </c>
      <c r="I1" t="s">
        <v>24</v>
      </c>
      <c r="J1" t="s">
        <v>35</v>
      </c>
      <c r="K1" t="s">
        <v>199</v>
      </c>
      <c r="L1" t="s">
        <v>200</v>
      </c>
    </row>
    <row r="2" spans="1:12" x14ac:dyDescent="0.25">
      <c r="A2" t="s">
        <v>46</v>
      </c>
      <c r="B2">
        <v>45307.685173611113</v>
      </c>
      <c r="C2" t="s">
        <v>47</v>
      </c>
      <c r="D2" t="s">
        <v>37</v>
      </c>
      <c r="E2" t="s">
        <v>208</v>
      </c>
      <c r="F2" t="s">
        <v>209</v>
      </c>
      <c r="H2" t="s">
        <v>44</v>
      </c>
      <c r="I2" t="s">
        <v>30</v>
      </c>
      <c r="J2" t="s">
        <v>34</v>
      </c>
      <c r="K2" t="s">
        <v>226</v>
      </c>
      <c r="L2" t="s">
        <v>201</v>
      </c>
    </row>
    <row r="3" spans="1:12" x14ac:dyDescent="0.25">
      <c r="A3" t="s">
        <v>56</v>
      </c>
      <c r="B3">
        <v>45307.677222222221</v>
      </c>
      <c r="C3" t="s">
        <v>57</v>
      </c>
      <c r="D3" t="s">
        <v>37</v>
      </c>
      <c r="E3" t="s">
        <v>210</v>
      </c>
      <c r="F3" t="s">
        <v>211</v>
      </c>
      <c r="H3" t="s">
        <v>41</v>
      </c>
      <c r="I3" t="s">
        <v>26</v>
      </c>
      <c r="J3" t="s">
        <v>34</v>
      </c>
      <c r="K3" t="s">
        <v>227</v>
      </c>
      <c r="L3" t="s">
        <v>201</v>
      </c>
    </row>
    <row r="4" spans="1:12" x14ac:dyDescent="0.25">
      <c r="A4" t="s">
        <v>68</v>
      </c>
      <c r="B4">
        <v>45313.678391203706</v>
      </c>
      <c r="C4" t="s">
        <v>69</v>
      </c>
      <c r="D4" t="s">
        <v>37</v>
      </c>
      <c r="E4" t="s">
        <v>212</v>
      </c>
      <c r="F4" t="s">
        <v>213</v>
      </c>
      <c r="H4" t="s">
        <v>43</v>
      </c>
      <c r="I4" t="s">
        <v>29</v>
      </c>
      <c r="J4" t="s">
        <v>33</v>
      </c>
      <c r="K4" t="s">
        <v>228</v>
      </c>
      <c r="L4" t="s">
        <v>201</v>
      </c>
    </row>
    <row r="5" spans="1:12" x14ac:dyDescent="0.25">
      <c r="A5" t="s">
        <v>98</v>
      </c>
      <c r="B5">
        <v>45307.644328703704</v>
      </c>
      <c r="C5" t="s">
        <v>99</v>
      </c>
      <c r="D5" t="s">
        <v>37</v>
      </c>
      <c r="E5" t="s">
        <v>214</v>
      </c>
      <c r="F5" t="s">
        <v>215</v>
      </c>
      <c r="H5" t="s">
        <v>39</v>
      </c>
      <c r="I5" t="s">
        <v>25</v>
      </c>
      <c r="J5" t="s">
        <v>33</v>
      </c>
      <c r="K5" t="s">
        <v>229</v>
      </c>
      <c r="L5" t="s">
        <v>201</v>
      </c>
    </row>
    <row r="6" spans="1:12" x14ac:dyDescent="0.25">
      <c r="A6" t="s">
        <v>120</v>
      </c>
      <c r="B6">
        <v>45307.659143518518</v>
      </c>
      <c r="C6" t="s">
        <v>121</v>
      </c>
      <c r="D6" t="s">
        <v>37</v>
      </c>
      <c r="E6" t="s">
        <v>216</v>
      </c>
      <c r="F6" t="s">
        <v>217</v>
      </c>
      <c r="H6" t="s">
        <v>197</v>
      </c>
      <c r="I6" t="s">
        <v>196</v>
      </c>
      <c r="J6" t="s">
        <v>34</v>
      </c>
      <c r="K6" t="s">
        <v>230</v>
      </c>
      <c r="L6" t="s">
        <v>201</v>
      </c>
    </row>
    <row r="7" spans="1:12" x14ac:dyDescent="0.25">
      <c r="A7" t="s">
        <v>150</v>
      </c>
      <c r="B7">
        <v>45308.649745370371</v>
      </c>
      <c r="C7" t="s">
        <v>151</v>
      </c>
      <c r="D7" t="s">
        <v>37</v>
      </c>
      <c r="E7" t="s">
        <v>218</v>
      </c>
      <c r="F7" t="s">
        <v>219</v>
      </c>
      <c r="H7" t="s">
        <v>40</v>
      </c>
      <c r="I7" t="s">
        <v>27</v>
      </c>
      <c r="J7" t="s">
        <v>33</v>
      </c>
      <c r="K7" t="s">
        <v>231</v>
      </c>
      <c r="L7" t="s">
        <v>201</v>
      </c>
    </row>
    <row r="8" spans="1:12" x14ac:dyDescent="0.25">
      <c r="A8" t="s">
        <v>160</v>
      </c>
      <c r="B8">
        <v>45308.653402777774</v>
      </c>
      <c r="C8" t="s">
        <v>161</v>
      </c>
      <c r="D8" t="s">
        <v>37</v>
      </c>
      <c r="E8" t="s">
        <v>220</v>
      </c>
      <c r="F8" t="s">
        <v>221</v>
      </c>
      <c r="H8" t="s">
        <v>45</v>
      </c>
      <c r="I8" t="s">
        <v>31</v>
      </c>
      <c r="J8" t="s">
        <v>33</v>
      </c>
      <c r="K8" t="s">
        <v>232</v>
      </c>
      <c r="L8" t="s">
        <v>201</v>
      </c>
    </row>
    <row r="9" spans="1:12" x14ac:dyDescent="0.25">
      <c r="A9" t="s">
        <v>180</v>
      </c>
      <c r="B9">
        <v>45308.658078703702</v>
      </c>
      <c r="C9" t="s">
        <v>181</v>
      </c>
      <c r="D9" t="s">
        <v>37</v>
      </c>
      <c r="E9" t="s">
        <v>222</v>
      </c>
      <c r="F9" t="s">
        <v>223</v>
      </c>
      <c r="H9" t="s">
        <v>42</v>
      </c>
      <c r="I9" t="s">
        <v>28</v>
      </c>
      <c r="J9" t="s">
        <v>34</v>
      </c>
      <c r="K9" t="s">
        <v>233</v>
      </c>
      <c r="L9" t="s">
        <v>201</v>
      </c>
    </row>
    <row r="10" spans="1:12" x14ac:dyDescent="0.25">
      <c r="E10" t="s">
        <v>224</v>
      </c>
      <c r="F10" t="s">
        <v>224</v>
      </c>
      <c r="H10" t="s">
        <v>224</v>
      </c>
      <c r="I10" t="s">
        <v>225</v>
      </c>
      <c r="J10" t="s">
        <v>224</v>
      </c>
      <c r="K10" t="s">
        <v>224</v>
      </c>
      <c r="L10" t="s">
        <v>224</v>
      </c>
    </row>
  </sheetData>
  <pageMargins left="0.7" right="0.7" top="0.75" bottom="0.75" header="0.3" footer="0.3"/>
  <pageSetup orientation="portrait" r:id="rId1"/>
  <headerFooter>
    <oddFooter>&amp;C&amp;"Calibri,Regular"&amp;8Template produced by Jerrison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9"/>
  <sheetViews>
    <sheetView workbookViewId="0">
      <selection activeCell="C13" sqref="C13"/>
    </sheetView>
  </sheetViews>
  <sheetFormatPr defaultRowHeight="15" x14ac:dyDescent="0.25"/>
  <cols>
    <col min="1" max="1" width="12.5703125" bestFit="1" customWidth="1"/>
    <col min="2" max="2" width="11" bestFit="1" customWidth="1"/>
    <col min="3" max="3" width="35.28515625" customWidth="1"/>
  </cols>
  <sheetData>
    <row r="1" spans="1:3" x14ac:dyDescent="0.25">
      <c r="A1" t="s">
        <v>38</v>
      </c>
      <c r="B1" t="s">
        <v>4</v>
      </c>
      <c r="C1" t="s">
        <v>32</v>
      </c>
    </row>
    <row r="2" spans="1:3" x14ac:dyDescent="0.25">
      <c r="A2" t="s">
        <v>39</v>
      </c>
      <c r="B2" t="s">
        <v>25</v>
      </c>
      <c r="C2" t="s">
        <v>33</v>
      </c>
    </row>
    <row r="3" spans="1:3" x14ac:dyDescent="0.25">
      <c r="A3" t="s">
        <v>41</v>
      </c>
      <c r="B3" t="s">
        <v>26</v>
      </c>
      <c r="C3" t="s">
        <v>34</v>
      </c>
    </row>
    <row r="4" spans="1:3" x14ac:dyDescent="0.25">
      <c r="A4" t="s">
        <v>40</v>
      </c>
      <c r="B4" t="s">
        <v>27</v>
      </c>
      <c r="C4" t="s">
        <v>33</v>
      </c>
    </row>
    <row r="5" spans="1:3" x14ac:dyDescent="0.25">
      <c r="A5" t="s">
        <v>42</v>
      </c>
      <c r="B5" t="s">
        <v>28</v>
      </c>
      <c r="C5" t="s">
        <v>34</v>
      </c>
    </row>
    <row r="6" spans="1:3" x14ac:dyDescent="0.25">
      <c r="A6" t="s">
        <v>43</v>
      </c>
      <c r="B6" t="s">
        <v>29</v>
      </c>
      <c r="C6" t="s">
        <v>33</v>
      </c>
    </row>
    <row r="7" spans="1:3" x14ac:dyDescent="0.25">
      <c r="A7" t="s">
        <v>44</v>
      </c>
      <c r="B7" t="s">
        <v>30</v>
      </c>
      <c r="C7" t="s">
        <v>34</v>
      </c>
    </row>
    <row r="8" spans="1:3" x14ac:dyDescent="0.25">
      <c r="A8" t="s">
        <v>45</v>
      </c>
      <c r="B8" t="s">
        <v>31</v>
      </c>
      <c r="C8" t="s">
        <v>33</v>
      </c>
    </row>
    <row r="9" spans="1:3" x14ac:dyDescent="0.25">
      <c r="A9" t="s">
        <v>197</v>
      </c>
      <c r="B9" t="s">
        <v>196</v>
      </c>
      <c r="C9" t="s">
        <v>34</v>
      </c>
    </row>
  </sheetData>
  <pageMargins left="0.7" right="0.7" top="0.75" bottom="0.75" header="0.3" footer="0.3"/>
  <pageSetup orientation="portrait" r:id="rId1"/>
  <headerFooter>
    <oddFooter>&amp;C&amp;"Calibri,Regular"&amp;8Template produced by Jerrison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23"/>
  <sheetViews>
    <sheetView workbookViewId="0">
      <pane ySplit="1" topLeftCell="A2" activePane="bottomLeft" state="frozen"/>
      <selection pane="bottomLeft" activeCell="D19" sqref="D19"/>
    </sheetView>
  </sheetViews>
  <sheetFormatPr defaultRowHeight="15" x14ac:dyDescent="0.25"/>
  <cols>
    <col min="1" max="1" width="23.28515625" customWidth="1"/>
    <col min="2" max="2" width="23.28515625" style="33" customWidth="1"/>
    <col min="3" max="3" width="23.28515625" customWidth="1"/>
    <col min="4" max="4" width="122.85546875" customWidth="1"/>
    <col min="5" max="5" width="43.140625" customWidth="1"/>
  </cols>
  <sheetData>
    <row r="1" spans="1:8" x14ac:dyDescent="0.25">
      <c r="A1" s="31" t="s">
        <v>15</v>
      </c>
      <c r="B1" s="32" t="s">
        <v>16</v>
      </c>
      <c r="C1" s="31" t="s">
        <v>17</v>
      </c>
      <c r="D1" s="31" t="s">
        <v>234</v>
      </c>
      <c r="E1" s="31" t="s">
        <v>18</v>
      </c>
      <c r="H1" t="s">
        <v>17</v>
      </c>
    </row>
    <row r="2" spans="1:8" x14ac:dyDescent="0.25">
      <c r="A2" t="s">
        <v>21</v>
      </c>
      <c r="B2" s="33">
        <v>45338.524814814817</v>
      </c>
      <c r="C2" t="s">
        <v>14</v>
      </c>
      <c r="D2" t="s">
        <v>19</v>
      </c>
    </row>
    <row r="3" spans="1:8" x14ac:dyDescent="0.25">
      <c r="A3" t="s">
        <v>21</v>
      </c>
      <c r="B3" s="33">
        <v>45338.524826388886</v>
      </c>
      <c r="C3" t="s">
        <v>14</v>
      </c>
      <c r="D3" t="s">
        <v>20</v>
      </c>
    </row>
    <row r="4" spans="1:8" x14ac:dyDescent="0.25">
      <c r="A4" t="s">
        <v>205</v>
      </c>
      <c r="B4" s="33">
        <v>45338.524953703702</v>
      </c>
      <c r="C4" t="s">
        <v>14</v>
      </c>
      <c r="D4" t="s">
        <v>19</v>
      </c>
    </row>
    <row r="5" spans="1:8" x14ac:dyDescent="0.25">
      <c r="A5" t="s">
        <v>205</v>
      </c>
      <c r="B5" s="33">
        <v>45338.525000000001</v>
      </c>
      <c r="C5" t="s">
        <v>14</v>
      </c>
      <c r="D5" t="s">
        <v>20</v>
      </c>
    </row>
    <row r="6" spans="1:8" x14ac:dyDescent="0.25">
      <c r="A6" t="s">
        <v>206</v>
      </c>
      <c r="B6" s="33">
        <v>45338.52516203704</v>
      </c>
      <c r="C6" t="s">
        <v>14</v>
      </c>
      <c r="D6" t="s">
        <v>19</v>
      </c>
    </row>
    <row r="7" spans="1:8" x14ac:dyDescent="0.25">
      <c r="A7" t="s">
        <v>206</v>
      </c>
      <c r="B7" s="33">
        <v>45338.52516203704</v>
      </c>
      <c r="C7" t="s">
        <v>14</v>
      </c>
      <c r="D7" t="s">
        <v>20</v>
      </c>
    </row>
    <row r="8" spans="1:8" x14ac:dyDescent="0.25">
      <c r="A8" t="s">
        <v>205</v>
      </c>
      <c r="B8" s="33">
        <v>45338.525289351855</v>
      </c>
      <c r="C8" t="s">
        <v>14</v>
      </c>
      <c r="D8" t="s">
        <v>19</v>
      </c>
    </row>
    <row r="9" spans="1:8" x14ac:dyDescent="0.25">
      <c r="A9" t="s">
        <v>205</v>
      </c>
      <c r="B9" s="33">
        <v>45338.525312500002</v>
      </c>
      <c r="C9" t="s">
        <v>14</v>
      </c>
      <c r="D9" t="s">
        <v>20</v>
      </c>
    </row>
    <row r="10" spans="1:8" x14ac:dyDescent="0.25">
      <c r="A10" t="s">
        <v>207</v>
      </c>
      <c r="B10" s="33">
        <v>45338.525868055556</v>
      </c>
      <c r="C10" t="s">
        <v>14</v>
      </c>
      <c r="D10" t="s">
        <v>19</v>
      </c>
    </row>
    <row r="11" spans="1:8" x14ac:dyDescent="0.25">
      <c r="A11" t="s">
        <v>207</v>
      </c>
      <c r="B11" s="33">
        <v>45338.537164351852</v>
      </c>
      <c r="C11" t="s">
        <v>14</v>
      </c>
      <c r="D11" t="s">
        <v>19</v>
      </c>
    </row>
    <row r="12" spans="1:8" x14ac:dyDescent="0.25">
      <c r="A12" t="s">
        <v>206</v>
      </c>
      <c r="B12" s="33">
        <v>45338.538113425922</v>
      </c>
      <c r="C12" t="s">
        <v>14</v>
      </c>
      <c r="D12" t="s">
        <v>19</v>
      </c>
    </row>
    <row r="13" spans="1:8" x14ac:dyDescent="0.25">
      <c r="A13" t="s">
        <v>206</v>
      </c>
      <c r="B13" s="33">
        <v>45338.538124999999</v>
      </c>
      <c r="C13" t="s">
        <v>14</v>
      </c>
      <c r="D13" t="s">
        <v>20</v>
      </c>
    </row>
    <row r="14" spans="1:8" x14ac:dyDescent="0.25">
      <c r="A14" t="s">
        <v>21</v>
      </c>
      <c r="B14" s="33">
        <v>45338.540613425925</v>
      </c>
      <c r="C14" t="s">
        <v>14</v>
      </c>
      <c r="D14" t="s">
        <v>19</v>
      </c>
    </row>
    <row r="15" spans="1:8" x14ac:dyDescent="0.25">
      <c r="A15" t="s">
        <v>21</v>
      </c>
      <c r="B15" s="33">
        <v>45338.540613425925</v>
      </c>
      <c r="C15" t="s">
        <v>14</v>
      </c>
      <c r="D15" t="s">
        <v>20</v>
      </c>
    </row>
    <row r="16" spans="1:8" x14ac:dyDescent="0.25">
      <c r="A16" t="s">
        <v>205</v>
      </c>
      <c r="B16" s="33">
        <v>45338.540636574071</v>
      </c>
      <c r="C16" t="s">
        <v>14</v>
      </c>
      <c r="D16" t="s">
        <v>19</v>
      </c>
    </row>
    <row r="17" spans="1:6" x14ac:dyDescent="0.25">
      <c r="A17" t="s">
        <v>205</v>
      </c>
      <c r="B17" s="33">
        <v>45338.540659722225</v>
      </c>
      <c r="C17" t="s">
        <v>14</v>
      </c>
      <c r="D17" t="s">
        <v>20</v>
      </c>
    </row>
    <row r="18" spans="1:6" x14ac:dyDescent="0.25">
      <c r="A18" t="s">
        <v>207</v>
      </c>
      <c r="B18" s="33">
        <v>45338.540833333333</v>
      </c>
      <c r="C18" t="s">
        <v>14</v>
      </c>
      <c r="D18" t="s">
        <v>19</v>
      </c>
    </row>
    <row r="19" spans="1:6" x14ac:dyDescent="0.25">
      <c r="A19" t="s">
        <v>207</v>
      </c>
      <c r="B19" s="33">
        <v>45338.540925925925</v>
      </c>
      <c r="C19" t="s">
        <v>14</v>
      </c>
      <c r="D19" t="s">
        <v>20</v>
      </c>
    </row>
    <row r="20" spans="1:6" x14ac:dyDescent="0.25">
      <c r="A20" t="e">
        <v>#REF!</v>
      </c>
      <c r="B20" s="33">
        <v>45636.666064814817</v>
      </c>
      <c r="C20" t="s">
        <v>14</v>
      </c>
      <c r="D20" t="s">
        <v>235</v>
      </c>
      <c r="E20" t="s">
        <v>236</v>
      </c>
    </row>
    <row r="21" spans="1:6" x14ac:dyDescent="0.25">
      <c r="A21" t="e">
        <v>#REF!</v>
      </c>
      <c r="B21" s="33">
        <v>45636.666064814817</v>
      </c>
      <c r="C21" t="s">
        <v>14</v>
      </c>
      <c r="D21" t="s">
        <v>237</v>
      </c>
      <c r="E21" t="s">
        <v>236</v>
      </c>
      <c r="F21" t="s">
        <v>238</v>
      </c>
    </row>
    <row r="22" spans="1:6" x14ac:dyDescent="0.25">
      <c r="A22" t="e">
        <v>#REF!</v>
      </c>
      <c r="B22" s="33">
        <v>45895.715138888889</v>
      </c>
      <c r="C22" t="s">
        <v>14</v>
      </c>
      <c r="D22" t="s">
        <v>235</v>
      </c>
      <c r="E22" t="s">
        <v>236</v>
      </c>
    </row>
    <row r="23" spans="1:6" x14ac:dyDescent="0.25">
      <c r="A23" t="e">
        <v>#REF!</v>
      </c>
      <c r="B23" s="33">
        <v>45895.715138888889</v>
      </c>
      <c r="C23" t="s">
        <v>14</v>
      </c>
      <c r="D23" t="s">
        <v>237</v>
      </c>
      <c r="E23" t="s">
        <v>236</v>
      </c>
      <c r="F23" t="s">
        <v>17</v>
      </c>
    </row>
  </sheetData>
  <sheetProtection algorithmName="SHA-512" hashValue="vpE+umepzqCgNV6/skkOOOMViogTaqYfbWMsjDQVwe1D6ZbgwziGDvTbHnvp4iRk8sF5TXWSt8An2c/aYsFvSQ==" saltValue="/2E0s6BVm2H2eonBMWSRkw==" spinCount="100000" sheet="1" objects="1" scenarios="1"/>
  <pageMargins left="0.7" right="0.7" top="0.75" bottom="0.75" header="0.3" footer="0.3"/>
  <pageSetup orientation="portrait" r:id="rId1"/>
  <headerFooter>
    <oddFooter>&amp;C&amp;"Calibri,Regular"&amp;8Template produced by Jerrison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Dashboard</vt:lpstr>
      <vt:lpstr>Data</vt:lpstr>
      <vt:lpstr>GroupEmail</vt:lpstr>
      <vt:lpstr>Reference</vt:lpstr>
      <vt:lpstr>LOG</vt:lpstr>
      <vt:lpstr>Email_Body</vt:lpstr>
      <vt:lpstr>Start_Time</vt:lpstr>
      <vt:lpstr>Status</vt:lpstr>
      <vt:lpstr>Time_Taken</vt:lpstr>
      <vt:lpstr>UserName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JerrisonSignature</dc:creator>
  <dc:description>Template produced by Jerrison | Repo: VBA-Utility-Library/vba-file-folder-utils | v2025-08-20 | SignedOn=2025-08-20 10:03 | GUID=RND-20250820100352-906811</dc:description>
  <cp:lastModifiedBy>Jerrison Chai</cp:lastModifiedBy>
  <dcterms:created xsi:type="dcterms:W3CDTF">2023-12-22T10:31:45Z</dcterms:created>
  <dcterms:modified xsi:type="dcterms:W3CDTF">2025-08-26T09:11:45Z</dcterms:modified>
</cp:coreProperties>
</file>